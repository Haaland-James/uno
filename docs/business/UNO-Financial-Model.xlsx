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Monthly Model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<sst xmlns="http://schemas.openxmlformats.org/spreadsheetml/2006/main" count="190" uniqueCount="176">
  <si>
    <t xml:space="preserve">UNO — 5-Year Financial Model</t>
  </si>
  <si>
    <t xml:space="preserve">Bottom-up operating model for a rental brokerage launching in Uyo, Akwa Ibom.</t>
  </si>
  <si>
    <t xml:space="preserve">HOW TO USE THIS MODEL</t>
  </si>
  <si>
    <t xml:space="preserve">Every input lives on the Assumptions tab. Nothing is hardcoded anywhere else. Change a number there and the whole model — monthly engine, annual summary, the figures you would put in a deck — recalculates. Do not type numbers into the Monthly Model or Summary tabs; they are all formulas.</t>
  </si>
  <si>
    <t xml:space="preserve">COLOUR CODE</t>
  </si>
  <si>
    <t xml:space="preserve">Blue text      — an input you edit.</t>
  </si>
  <si>
    <t xml:space="preserve">Black text     — calculated. Do not overwrite.</t>
  </si>
  <si>
    <t xml:space="preserve">Green text     — pulled from another tab.</t>
  </si>
  <si>
    <t xml:space="preserve">Yellow fill    — key assumption. These are placeholders. Replace them with real Uyo numbers before you show this to anyone.</t>
  </si>
  <si>
    <t xml:space="preserve">THE NINE NUMBERS THAT MATTER MOST</t>
  </si>
  <si>
    <t xml:space="preserve">Everything else is detail. If these nine are wrong, the model is wrong:</t>
  </si>
  <si>
    <t xml:space="preserve">1.  Average annual rent by segment, and the mix of deals across segments (Assumptions, rows 9–12)</t>
  </si>
  <si>
    <t xml:space="preserve">2.  Agency fee % actually charged in Uyo — confirm it is really 10%, and whether legal fee stacks on top</t>
  </si>
  <si>
    <t xml:space="preserve">3.  Listings a trained agent can verify per month</t>
  </si>
  <si>
    <t xml:space="preserve">4.  Inspections a trained agent can run per month</t>
  </si>
  <si>
    <t xml:space="preserve">5.  Inspection → close conversion rate</t>
  </si>
  <si>
    <t xml:space="preserve">6.  Agent stipend and commission split</t>
  </si>
  <si>
    <t xml:space="preserve">7.  How fast you can realistically hire and train agents</t>
  </si>
  <si>
    <t xml:space="preserve">8.  Management attach rate — what share of closed deals convert to a management contract</t>
  </si>
  <si>
    <t xml:space="preserve">9.  Rent inflation — this compounds hard over five years in naira</t>
  </si>
  <si>
    <t xml:space="preserve">WHAT IS DELIBERATELY NOT IN HERE</t>
  </si>
  <si>
    <t xml:space="preserve">No rent financing. It is a lending business with credit risk and a licence requirement — the plan is to partner, not to build, so it carries no revenue line here.</t>
  </si>
  <si>
    <t xml:space="preserve">No land sales. Highest fraud surface in the market; the model opens the sales layer with built houses only, from Year 3.</t>
  </si>
  <si>
    <t xml:space="preserve">No fundraise. The model runs on operating cash alone, so the cash line shows what the business actually needs. Layer an investment in only once you have decided to raise.</t>
  </si>
  <si>
    <t xml:space="preserve">HOW THE ENGINE WORKS</t>
  </si>
  <si>
    <t xml:space="preserve">Agents are hired on a schedule and ramp over two months. Effective agents produce verified listings. Inspections are capped by the lower of agent capacity and available inventory — so the model shows you when supply, not demand, is the constraint. Closes are a conversion on inspections. Revenue is agency fee + net inspection fee + recurring management fee + (Year 3+) sales commission.</t>
  </si>
  <si>
    <t xml:space="preserve">A WARNING ABOUT THIS FILE</t>
  </si>
  <si>
    <t xml:space="preserve">This is a model, not a forecast. Its job is to show you which levers matter and what breaks first — not to predict Year 5 revenue. Treat Months 1–18 as the part that has to be defensible and everything after as a shape, not a promise.</t>
  </si>
  <si>
    <t xml:space="preserve">UNO — Model Assumptions</t>
  </si>
  <si>
    <t xml:space="preserve">Blue = edit me.  Yellow = placeholder, replace with real Uyo data.  Column F explains where each number should come from.</t>
  </si>
  <si>
    <t xml:space="preserve">MARKET &amp; PRICING  —  UYO</t>
  </si>
  <si>
    <t xml:space="preserve">Segment</t>
  </si>
  <si>
    <t xml:space="preserve">Avg annual rent (₦)</t>
  </si>
  <si>
    <t xml:space="preserve">% of deals</t>
  </si>
  <si>
    <t xml:space="preserve">Self-contain</t>
  </si>
  <si>
    <t xml:space="preserve">PLACEHOLDER. Walk Ewet Housing, Ikpa Road and Shelter Afrique and price these yourself.</t>
  </si>
  <si>
    <t xml:space="preserve">Mini flat</t>
  </si>
  <si>
    <t xml:space="preserve">2-bed flat</t>
  </si>
  <si>
    <t xml:space="preserve">3-bed / duplex</t>
  </si>
  <si>
    <t xml:space="preserve">Mix check (must equal 100%)</t>
  </si>
  <si>
    <t xml:space="preserve">Blended average annual rent</t>
  </si>
  <si>
    <t xml:space="preserve">Drives every revenue line. Weighted by deal mix, not by inventory mix.</t>
  </si>
  <si>
    <t xml:space="preserve">Annual rent inflation</t>
  </si>
  <si>
    <t xml:space="preserve">Naira rent inflation. Compounds over 60 months — do not leave at a guess.</t>
  </si>
  <si>
    <t xml:space="preserve">FEES &amp; REVENUE MODEL</t>
  </si>
  <si>
    <t xml:space="preserve">Agency fee (% of annual rent)</t>
  </si>
  <si>
    <t xml:space="preserve">Confirm the real Uyo rate, and whether legal fee stacks.</t>
  </si>
  <si>
    <t xml:space="preserve">Inspection fee (₦)</t>
  </si>
  <si>
    <t xml:space="preserve">Credited against the agency fee when the renter takes the place.</t>
  </si>
  <si>
    <t xml:space="preserve">Management fee (% of annual rent)</t>
  </si>
  <si>
    <t xml:space="preserve">Recurring. The compounding part of the business.</t>
  </si>
  <si>
    <t xml:space="preserve">Management attach rate (% of closes)</t>
  </si>
  <si>
    <t xml:space="preserve">Share of closed deals whose landlord signs management.</t>
  </si>
  <si>
    <t xml:space="preserve">Management layer starts (month)</t>
  </si>
  <si>
    <t xml:space="preserve">Do not open this before you have landlord relationships.</t>
  </si>
  <si>
    <t xml:space="preserve">Managed-unit annual churn</t>
  </si>
  <si>
    <t xml:space="preserve">Landlords who leave or sell.</t>
  </si>
  <si>
    <t xml:space="preserve">AGENT FUNNEL</t>
  </si>
  <si>
    <t xml:space="preserve">Listings verified / effective agent / month</t>
  </si>
  <si>
    <t xml:space="preserve">Governed by your Verification SOP. Time it in the field.</t>
  </si>
  <si>
    <t xml:space="preserve">Inspections / effective agent / month</t>
  </si>
  <si>
    <t xml:space="preserve">Agent capacity ceiling — roughly 2 a working day.</t>
  </si>
  <si>
    <t xml:space="preserve">Max inspections / active listing / month</t>
  </si>
  <si>
    <t xml:space="preserve">Inventory ceiling. Model takes the LOWER of the two.</t>
  </si>
  <si>
    <t xml:space="preserve">Inspection → close conversion</t>
  </si>
  <si>
    <t xml:space="preserve">The single most sensitive number in the model.</t>
  </si>
  <si>
    <t xml:space="preserve">Listing churn / month</t>
  </si>
  <si>
    <t xml:space="preserve">Let elsewhere, withdrawn, or gone stale.</t>
  </si>
  <si>
    <t xml:space="preserve">Agent ramp — month 1 productivity</t>
  </si>
  <si>
    <t xml:space="preserve">Agent ramp — month 2 productivity</t>
  </si>
  <si>
    <t xml:space="preserve">Full productivity from month 3.</t>
  </si>
  <si>
    <t xml:space="preserve">Agent attrition / month</t>
  </si>
  <si>
    <t xml:space="preserve">~30%/yr. Field roles churn. Do not set this to zero.</t>
  </si>
  <si>
    <t xml:space="preserve">AGENT ECONOMICS</t>
  </si>
  <si>
    <t xml:space="preserve">Agent monthly stipend (₦)</t>
  </si>
  <si>
    <t xml:space="preserve">Keep low; the commission should be the real pay.</t>
  </si>
  <si>
    <t xml:space="preserve">Agent commission (% of agency fee)</t>
  </si>
  <si>
    <t xml:space="preserve">Paid on rent collected, not on handshake.</t>
  </si>
  <si>
    <t xml:space="preserve">Agent commission on sales (% of sale commission)</t>
  </si>
  <si>
    <t xml:space="preserve">HIRING PLAN</t>
  </si>
  <si>
    <t xml:space="preserve">Year</t>
  </si>
  <si>
    <t xml:space="preserve">Agents hired / month</t>
  </si>
  <si>
    <t xml:space="preserve">This is the real growth constraint. You grow at the speed you can hire and train, not the speed you can code.</t>
  </si>
  <si>
    <t xml:space="preserve">Agents at launch (month 1)</t>
  </si>
  <si>
    <t xml:space="preserve">Assumed already trained.</t>
  </si>
  <si>
    <t xml:space="preserve">CITY EXPANSION  —  TRIGGER-BASED, NOT DATE-BASED</t>
  </si>
  <si>
    <t xml:space="preserve">City</t>
  </si>
  <si>
    <t xml:space="preserve">Opens in month</t>
  </si>
  <si>
    <t xml:space="preserve">Uyo</t>
  </si>
  <si>
    <t xml:space="preserve">Months here are placeholders for modelling only. In reality you open city N+1 only when city N hits its trigger (deals/month, closes per agent, positive city gross margin).</t>
  </si>
  <si>
    <t xml:space="preserve">Eket</t>
  </si>
  <si>
    <t xml:space="preserve">Calabar</t>
  </si>
  <si>
    <t xml:space="preserve">Ikot Ekpene</t>
  </si>
  <si>
    <t xml:space="preserve">Port Harcourt</t>
  </si>
  <si>
    <t xml:space="preserve">Aba / Owerri</t>
  </si>
  <si>
    <t xml:space="preserve">Warri / Benin</t>
  </si>
  <si>
    <t xml:space="preserve">Cost to open a city (₦)</t>
  </si>
  <si>
    <t xml:space="preserve">Recce, first hires, launch marketing.</t>
  </si>
  <si>
    <t xml:space="preserve">SALES LAYER  —  BUILT HOUSES ONLY, FROM YEAR 3</t>
  </si>
  <si>
    <t xml:space="preserve">Sales layer starts (month)</t>
  </si>
  <si>
    <t xml:space="preserve">After the rental brand and agent bench exist.</t>
  </si>
  <si>
    <t xml:space="preserve">Average sale value (₦)</t>
  </si>
  <si>
    <t xml:space="preserve">Uyo/Calabar built house. Validate locally.</t>
  </si>
  <si>
    <t xml:space="preserve">Sales commission (%)</t>
  </si>
  <si>
    <t xml:space="preserve">Sale deals added per month (ramp)</t>
  </si>
  <si>
    <t xml:space="preserve">Slow by design. Sales cycles run months.</t>
  </si>
  <si>
    <t xml:space="preserve">OPERATING COSTS  (₦ per month, by year)</t>
  </si>
  <si>
    <t xml:space="preserve">Core team</t>
  </si>
  <si>
    <t xml:space="preserve">Tech &amp; infra</t>
  </si>
  <si>
    <t xml:space="preserve">Marketing</t>
  </si>
  <si>
    <t xml:space="preserve">Office &amp; admin</t>
  </si>
  <si>
    <t xml:space="preserve">Core team excludes field agents — they sit in stipends + commission.</t>
  </si>
  <si>
    <t xml:space="preserve">Starting cash (₦)</t>
  </si>
  <si>
    <t xml:space="preserve">No fundraise modelled. The cash line shows what you actually need.</t>
  </si>
  <si>
    <t xml:space="preserve">UNO — Monthly Operating Model (60 months)</t>
  </si>
  <si>
    <t xml:space="preserve">All formulas. Every input lives on the Assumptions tab.</t>
  </si>
  <si>
    <t xml:space="preserve">Month</t>
  </si>
  <si>
    <t xml:space="preserve">Cities live</t>
  </si>
  <si>
    <t xml:space="preserve">Agents hired</t>
  </si>
  <si>
    <t xml:space="preserve">Agents (EOM)</t>
  </si>
  <si>
    <t xml:space="preserve">Effective agents</t>
  </si>
  <si>
    <t xml:space="preserve">New listings verified</t>
  </si>
  <si>
    <t xml:space="preserve">Opening inventory</t>
  </si>
  <si>
    <t xml:space="preserve">Inspections</t>
  </si>
  <si>
    <t xml:space="preserve">Rental deals closed</t>
  </si>
  <si>
    <t xml:space="preserve">Closing inventory</t>
  </si>
  <si>
    <t xml:space="preserve">Blended annual rent</t>
  </si>
  <si>
    <t xml:space="preserve">Agency fee revenue</t>
  </si>
  <si>
    <t xml:space="preserve">Inspection revenue (net)</t>
  </si>
  <si>
    <t xml:space="preserve">Managed units</t>
  </si>
  <si>
    <t xml:space="preserve">Management revenue</t>
  </si>
  <si>
    <t xml:space="preserve">Sale deals</t>
  </si>
  <si>
    <t xml:space="preserve">Sales revenue</t>
  </si>
  <si>
    <t xml:space="preserve">TOTAL REVENUE</t>
  </si>
  <si>
    <t xml:space="preserve">Agent commission</t>
  </si>
  <si>
    <t xml:space="preserve">Agent stipends</t>
  </si>
  <si>
    <t xml:space="preserve">Total agent cost</t>
  </si>
  <si>
    <t xml:space="preserve">Gross profit</t>
  </si>
  <si>
    <t xml:space="preserve">Gross margin %</t>
  </si>
  <si>
    <t xml:space="preserve">City opening cost</t>
  </si>
  <si>
    <t xml:space="preserve">Total opex</t>
  </si>
  <si>
    <t xml:space="preserve">EBITDA</t>
  </si>
  <si>
    <t xml:space="preserve">Cumulative cash</t>
  </si>
  <si>
    <t xml:space="preserve">UNO — Annual Summary</t>
  </si>
  <si>
    <t xml:space="preserve">Green = pulled from the Monthly Model. Nothing here is typed.</t>
  </si>
  <si>
    <t xml:space="preserve">SCALE</t>
  </si>
  <si>
    <t xml:space="preserve">Cities live (end of year)</t>
  </si>
  <si>
    <t xml:space="preserve">Agents (end of year)</t>
  </si>
  <si>
    <t xml:space="preserve">Listings verified in year</t>
  </si>
  <si>
    <t xml:space="preserve">Active inventory (end of year)</t>
  </si>
  <si>
    <t xml:space="preserve">The number that matters: verified, transactable inventory.</t>
  </si>
  <si>
    <t xml:space="preserve">Inspections in year</t>
  </si>
  <si>
    <t xml:space="preserve">Rental deals closed in year</t>
  </si>
  <si>
    <t xml:space="preserve">Managed units (end of year)</t>
  </si>
  <si>
    <t xml:space="preserve">Recurring revenue base. The moat.</t>
  </si>
  <si>
    <t xml:space="preserve">REVENUE</t>
  </si>
  <si>
    <t xml:space="preserve">PROFITABILITY</t>
  </si>
  <si>
    <t xml:space="preserve">Total agent cost (commission + stipends)</t>
  </si>
  <si>
    <t xml:space="preserve">Total opex (excl. agents)</t>
  </si>
  <si>
    <t xml:space="preserve">Cash position (end of year)</t>
  </si>
  <si>
    <t xml:space="preserve">No fundraise modelled — the trough of this line is what you need to cover.</t>
  </si>
  <si>
    <t xml:space="preserve">UNIT ECONOMICS</t>
  </si>
  <si>
    <t xml:space="preserve">Revenue per agent (per year)</t>
  </si>
  <si>
    <t xml:space="preserve">Closes per agent per month</t>
  </si>
  <si>
    <t xml:space="preserve">Watch this one. If it stalls below ~6, the Uyo rental market is too thin to carry the agent bench — and sales has to come forward.</t>
  </si>
  <si>
    <t xml:space="preserve">Revenue per closed deal</t>
  </si>
  <si>
    <t xml:space="preserve">Gross profit per closed deal</t>
  </si>
  <si>
    <t xml:space="preserve">THE FUNDING QUESTION</t>
  </si>
  <si>
    <t xml:space="preserve">Peak funding need (₦)</t>
  </si>
  <si>
    <t xml:space="preserve">The deepest the cash line goes. This is what you must cover before the business self-funds.</t>
  </si>
  <si>
    <t xml:space="preserve">Month of deepest cash</t>
  </si>
  <si>
    <t xml:space="preserve">First month of positive EBITDA</t>
  </si>
  <si>
    <t xml:space="preserve">Monthly operating breakeven.</t>
  </si>
  <si>
    <t xml:space="preserve">First month cash turns positive</t>
  </si>
  <si>
    <t xml:space="preserve">When cumulative cash clears zero. 0 means it never does under these assumptions.</t>
  </si>
  <si>
    <t xml:space="preserve">Gross margin here is after ALL agent cost — commission and stipends both. Opex below it is core team, tech, marketing, office and city launches only.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</si>
</sst>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₦#,##0;&quot;(₦&quot;#,##0\);\-"/>
    <numFmt numFmtId="166" formatCode="0.0%;\(0.0%\);\-"/>
    <numFmt numFmtId="167" formatCode="#,##0;\(#,##0\);\-"/>
    <numFmt numFmtId="168" formatCode="#,##0.0;\(#,##0.0\);\-"/>
    <numFmt numFmtId="169" formatCode="&quot;Year &quot;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AF252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2525"/>
        <bgColor rgb="FF993366"/>
      </patternFill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AF2525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6" t="s">
        <v>7</v>
      </c>
    </row>
    <row r="12" customFormat="false" ht="15" hidden="false" customHeight="false" outlineLevel="0" collapsed="false">
      <c r="B12" s="7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6" customFormat="false" ht="15" hidden="false" customHeight="false" outlineLevel="0" collapsed="false">
      <c r="B26" s="3" t="s">
        <v>20</v>
      </c>
    </row>
    <row r="27" customFormat="false" ht="1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4" t="s">
        <v>22</v>
      </c>
    </row>
    <row r="29" customFormat="false" ht="23.85" hidden="false" customHeight="false" outlineLevel="0" collapsed="false">
      <c r="B29" s="4" t="s">
        <v>23</v>
      </c>
    </row>
    <row r="31" customFormat="false" ht="15" hidden="false" customHeight="false" outlineLevel="0" collapsed="false">
      <c r="B31" s="3" t="s">
        <v>24</v>
      </c>
    </row>
    <row r="32" customFormat="false" ht="35.05" hidden="false" customHeight="false" outlineLevel="0" collapsed="false">
      <c r="B32" s="4" t="s">
        <v>25</v>
      </c>
    </row>
    <row r="34" customFormat="false" ht="15" hidden="false" customHeight="false" outlineLevel="0" collapsed="false">
      <c r="B34" s="3" t="s">
        <v>26</v>
      </c>
    </row>
    <row r="35" customFormat="false" ht="23.85" hidden="false" customHeight="false" outlineLevel="0" collapsed="false">
      <c r="B35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8" t="s">
        <v>28</v>
      </c>
    </row>
    <row r="2" customFormat="false" ht="15" hidden="false" customHeight="false" outlineLevel="0" collapsed="false">
      <c r="A2" s="9" t="s">
        <v>29</v>
      </c>
    </row>
    <row r="7" customFormat="false" ht="18" hidden="false" customHeight="true" outlineLevel="0" collapsed="false">
      <c r="A7" s="10" t="s">
        <v>30</v>
      </c>
      <c r="B7" s="10"/>
      <c r="C7" s="10"/>
      <c r="D7" s="10"/>
      <c r="E7" s="10"/>
      <c r="F7" s="10"/>
    </row>
    <row r="8" customFormat="false" ht="15" hidden="false" customHeight="false" outlineLevel="0" collapsed="false">
      <c r="A8" s="11" t="s">
        <v>31</v>
      </c>
      <c r="B8" s="11" t="s">
        <v>32</v>
      </c>
      <c r="C8" s="11" t="s">
        <v>33</v>
      </c>
    </row>
    <row r="9" customFormat="false" ht="15" hidden="false" customHeight="false" outlineLevel="0" collapsed="false">
      <c r="A9" s="12" t="s">
        <v>34</v>
      </c>
      <c r="B9" s="13" t="n">
        <v>350000</v>
      </c>
      <c r="C9" s="14" t="n">
        <v>0.3</v>
      </c>
      <c r="F9" s="9" t="s">
        <v>35</v>
      </c>
    </row>
    <row r="10" customFormat="false" ht="15" hidden="false" customHeight="false" outlineLevel="0" collapsed="false">
      <c r="A10" s="12" t="s">
        <v>36</v>
      </c>
      <c r="B10" s="13" t="n">
        <v>550000</v>
      </c>
      <c r="C10" s="14" t="n">
        <v>0.25</v>
      </c>
    </row>
    <row r="11" customFormat="false" ht="15" hidden="false" customHeight="false" outlineLevel="0" collapsed="false">
      <c r="A11" s="12" t="s">
        <v>37</v>
      </c>
      <c r="B11" s="13" t="n">
        <v>850000</v>
      </c>
      <c r="C11" s="14" t="n">
        <v>0.3</v>
      </c>
    </row>
    <row r="12" customFormat="false" ht="15" hidden="false" customHeight="false" outlineLevel="0" collapsed="false">
      <c r="A12" s="12" t="s">
        <v>38</v>
      </c>
      <c r="B12" s="13" t="n">
        <v>1800000</v>
      </c>
      <c r="C12" s="14" t="n">
        <v>0.15</v>
      </c>
    </row>
    <row r="13" customFormat="false" ht="15" hidden="false" customHeight="false" outlineLevel="0" collapsed="false">
      <c r="A13" s="15" t="s">
        <v>39</v>
      </c>
      <c r="C13" s="16" t="n">
        <f aca="false">SUM(C9:C12)</f>
        <v>1</v>
      </c>
    </row>
    <row r="14" customFormat="false" ht="15" hidden="false" customHeight="false" outlineLevel="0" collapsed="false">
      <c r="A14" s="15" t="s">
        <v>40</v>
      </c>
      <c r="B14" s="17" t="n">
        <f aca="false">SUMPRODUCT(B9:B12,C9:C12)</f>
        <v>767500</v>
      </c>
      <c r="F14" s="9" t="s">
        <v>41</v>
      </c>
    </row>
    <row r="15" customFormat="false" ht="15" hidden="false" customHeight="false" outlineLevel="0" collapsed="false">
      <c r="A15" s="12" t="s">
        <v>42</v>
      </c>
      <c r="B15" s="14" t="n">
        <v>0.15</v>
      </c>
      <c r="F15" s="9" t="s">
        <v>43</v>
      </c>
    </row>
    <row r="17" customFormat="false" ht="18" hidden="false" customHeight="true" outlineLevel="0" collapsed="false">
      <c r="A17" s="10" t="s">
        <v>44</v>
      </c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2" t="s">
        <v>45</v>
      </c>
      <c r="B18" s="14" t="n">
        <v>0.1</v>
      </c>
      <c r="F18" s="9" t="s">
        <v>46</v>
      </c>
    </row>
    <row r="19" customFormat="false" ht="15" hidden="false" customHeight="false" outlineLevel="0" collapsed="false">
      <c r="A19" s="12" t="s">
        <v>47</v>
      </c>
      <c r="B19" s="13" t="n">
        <v>2000</v>
      </c>
      <c r="F19" s="9" t="s">
        <v>48</v>
      </c>
    </row>
    <row r="20" customFormat="false" ht="15" hidden="false" customHeight="false" outlineLevel="0" collapsed="false">
      <c r="A20" s="12" t="s">
        <v>49</v>
      </c>
      <c r="B20" s="14" t="n">
        <v>0.075</v>
      </c>
      <c r="F20" s="9" t="s">
        <v>50</v>
      </c>
    </row>
    <row r="21" customFormat="false" ht="15" hidden="false" customHeight="false" outlineLevel="0" collapsed="false">
      <c r="A21" s="12" t="s">
        <v>51</v>
      </c>
      <c r="B21" s="14" t="n">
        <v>0.25</v>
      </c>
      <c r="F21" s="9" t="s">
        <v>52</v>
      </c>
    </row>
    <row r="22" customFormat="false" ht="15" hidden="false" customHeight="false" outlineLevel="0" collapsed="false">
      <c r="A22" s="12" t="s">
        <v>53</v>
      </c>
      <c r="B22" s="18" t="n">
        <v>13</v>
      </c>
      <c r="F22" s="9" t="s">
        <v>54</v>
      </c>
    </row>
    <row r="23" customFormat="false" ht="15" hidden="false" customHeight="false" outlineLevel="0" collapsed="false">
      <c r="A23" s="12" t="s">
        <v>55</v>
      </c>
      <c r="B23" s="19" t="n">
        <v>0.1</v>
      </c>
      <c r="F23" s="9" t="s">
        <v>56</v>
      </c>
    </row>
    <row r="25" customFormat="false" ht="18" hidden="false" customHeight="true" outlineLevel="0" collapsed="false">
      <c r="A25" s="10" t="s">
        <v>57</v>
      </c>
      <c r="B25" s="10"/>
      <c r="C25" s="10"/>
      <c r="D25" s="10"/>
      <c r="E25" s="10"/>
      <c r="F25" s="10"/>
    </row>
    <row r="26" customFormat="false" ht="15" hidden="false" customHeight="false" outlineLevel="0" collapsed="false">
      <c r="A26" s="12" t="s">
        <v>58</v>
      </c>
      <c r="B26" s="20" t="n">
        <v>6</v>
      </c>
      <c r="F26" s="9" t="s">
        <v>59</v>
      </c>
    </row>
    <row r="27" customFormat="false" ht="15" hidden="false" customHeight="false" outlineLevel="0" collapsed="false">
      <c r="A27" s="12" t="s">
        <v>60</v>
      </c>
      <c r="B27" s="20" t="n">
        <v>40</v>
      </c>
      <c r="F27" s="9" t="s">
        <v>61</v>
      </c>
    </row>
    <row r="28" customFormat="false" ht="15" hidden="false" customHeight="false" outlineLevel="0" collapsed="false">
      <c r="A28" s="12" t="s">
        <v>62</v>
      </c>
      <c r="B28" s="21" t="n">
        <v>3</v>
      </c>
      <c r="F28" s="9" t="s">
        <v>63</v>
      </c>
    </row>
    <row r="29" customFormat="false" ht="15" hidden="false" customHeight="false" outlineLevel="0" collapsed="false">
      <c r="A29" s="12" t="s">
        <v>64</v>
      </c>
      <c r="B29" s="14" t="n">
        <v>0.12</v>
      </c>
      <c r="F29" s="9" t="s">
        <v>65</v>
      </c>
    </row>
    <row r="30" customFormat="false" ht="15" hidden="false" customHeight="false" outlineLevel="0" collapsed="false">
      <c r="A30" s="12" t="s">
        <v>66</v>
      </c>
      <c r="B30" s="19" t="n">
        <v>0.08</v>
      </c>
      <c r="F30" s="9" t="s">
        <v>67</v>
      </c>
    </row>
    <row r="31" customFormat="false" ht="15" hidden="false" customHeight="false" outlineLevel="0" collapsed="false">
      <c r="A31" s="12" t="s">
        <v>68</v>
      </c>
      <c r="B31" s="19" t="n">
        <v>0.4</v>
      </c>
    </row>
    <row r="32" customFormat="false" ht="15" hidden="false" customHeight="false" outlineLevel="0" collapsed="false">
      <c r="A32" s="12" t="s">
        <v>69</v>
      </c>
      <c r="B32" s="19" t="n">
        <v>0.75</v>
      </c>
      <c r="F32" s="9" t="s">
        <v>70</v>
      </c>
    </row>
    <row r="33" customFormat="false" ht="15" hidden="false" customHeight="false" outlineLevel="0" collapsed="false">
      <c r="A33" s="12" t="s">
        <v>71</v>
      </c>
      <c r="B33" s="14" t="n">
        <v>0.03</v>
      </c>
      <c r="F33" s="9" t="s">
        <v>72</v>
      </c>
    </row>
    <row r="35" customFormat="false" ht="18" hidden="false" customHeight="true" outlineLevel="0" collapsed="false">
      <c r="A35" s="10" t="s">
        <v>73</v>
      </c>
      <c r="B35" s="10"/>
      <c r="C35" s="10"/>
      <c r="D35" s="10"/>
      <c r="E35" s="10"/>
      <c r="F35" s="10"/>
    </row>
    <row r="36" customFormat="false" ht="15" hidden="false" customHeight="false" outlineLevel="0" collapsed="false">
      <c r="A36" s="12" t="s">
        <v>74</v>
      </c>
      <c r="B36" s="13" t="n">
        <v>80000</v>
      </c>
      <c r="F36" s="9" t="s">
        <v>75</v>
      </c>
    </row>
    <row r="37" customFormat="false" ht="15" hidden="false" customHeight="false" outlineLevel="0" collapsed="false">
      <c r="A37" s="12" t="s">
        <v>76</v>
      </c>
      <c r="B37" s="14" t="n">
        <v>0.3</v>
      </c>
      <c r="F37" s="9" t="s">
        <v>77</v>
      </c>
    </row>
    <row r="38" customFormat="false" ht="15" hidden="false" customHeight="false" outlineLevel="0" collapsed="false">
      <c r="A38" s="12" t="s">
        <v>78</v>
      </c>
      <c r="B38" s="19" t="n">
        <v>0.3</v>
      </c>
    </row>
    <row r="40" customFormat="false" ht="18" hidden="false" customHeight="true" outlineLevel="0" collapsed="false">
      <c r="A40" s="10" t="s">
        <v>79</v>
      </c>
      <c r="B40" s="10"/>
      <c r="C40" s="10"/>
      <c r="D40" s="10"/>
      <c r="E40" s="10"/>
      <c r="F40" s="10"/>
    </row>
    <row r="41" customFormat="false" ht="15" hidden="false" customHeight="false" outlineLevel="0" collapsed="false">
      <c r="A41" s="11" t="s">
        <v>80</v>
      </c>
      <c r="B41" s="11" t="s">
        <v>81</v>
      </c>
    </row>
    <row r="42" customFormat="false" ht="15" hidden="false" customHeight="false" outlineLevel="0" collapsed="false">
      <c r="A42" s="22" t="n">
        <v>1</v>
      </c>
      <c r="B42" s="20" t="n">
        <v>1</v>
      </c>
      <c r="F42" s="9" t="s">
        <v>82</v>
      </c>
    </row>
    <row r="43" customFormat="false" ht="15" hidden="false" customHeight="false" outlineLevel="0" collapsed="false">
      <c r="A43" s="22" t="n">
        <v>2</v>
      </c>
      <c r="B43" s="20" t="n">
        <v>2</v>
      </c>
    </row>
    <row r="44" customFormat="false" ht="15" hidden="false" customHeight="false" outlineLevel="0" collapsed="false">
      <c r="A44" s="22" t="n">
        <v>3</v>
      </c>
      <c r="B44" s="20" t="n">
        <v>3</v>
      </c>
    </row>
    <row r="45" customFormat="false" ht="15" hidden="false" customHeight="false" outlineLevel="0" collapsed="false">
      <c r="A45" s="22" t="n">
        <v>4</v>
      </c>
      <c r="B45" s="20" t="n">
        <v>4</v>
      </c>
    </row>
    <row r="46" customFormat="false" ht="15" hidden="false" customHeight="false" outlineLevel="0" collapsed="false">
      <c r="A46" s="22" t="n">
        <v>5</v>
      </c>
      <c r="B46" s="20" t="n">
        <v>5</v>
      </c>
    </row>
    <row r="47" customFormat="false" ht="15" hidden="false" customHeight="false" outlineLevel="0" collapsed="false">
      <c r="A47" s="12" t="s">
        <v>83</v>
      </c>
      <c r="B47" s="21" t="n">
        <v>2</v>
      </c>
      <c r="F47" s="9" t="s">
        <v>84</v>
      </c>
    </row>
    <row r="49" customFormat="false" ht="18" hidden="false" customHeight="true" outlineLevel="0" collapsed="false">
      <c r="A49" s="10" t="s">
        <v>85</v>
      </c>
      <c r="B49" s="10"/>
      <c r="C49" s="10"/>
      <c r="D49" s="10"/>
      <c r="E49" s="10"/>
      <c r="F49" s="10"/>
    </row>
    <row r="50" customFormat="false" ht="15" hidden="false" customHeight="false" outlineLevel="0" collapsed="false">
      <c r="A50" s="11" t="s">
        <v>86</v>
      </c>
      <c r="B50" s="11" t="s">
        <v>87</v>
      </c>
    </row>
    <row r="51" customFormat="false" ht="15" hidden="false" customHeight="false" outlineLevel="0" collapsed="false">
      <c r="A51" s="12" t="s">
        <v>88</v>
      </c>
      <c r="B51" s="18" t="n">
        <v>1</v>
      </c>
      <c r="F51" s="9" t="s">
        <v>89</v>
      </c>
    </row>
    <row r="52" customFormat="false" ht="15" hidden="false" customHeight="false" outlineLevel="0" collapsed="false">
      <c r="A52" s="12" t="s">
        <v>90</v>
      </c>
      <c r="B52" s="18" t="n">
        <v>13</v>
      </c>
    </row>
    <row r="53" customFormat="false" ht="15" hidden="false" customHeight="false" outlineLevel="0" collapsed="false">
      <c r="A53" s="12" t="s">
        <v>91</v>
      </c>
      <c r="B53" s="18" t="n">
        <v>19</v>
      </c>
    </row>
    <row r="54" customFormat="false" ht="15" hidden="false" customHeight="false" outlineLevel="0" collapsed="false">
      <c r="A54" s="12" t="s">
        <v>92</v>
      </c>
      <c r="B54" s="18" t="n">
        <v>25</v>
      </c>
    </row>
    <row r="55" customFormat="false" ht="15" hidden="false" customHeight="false" outlineLevel="0" collapsed="false">
      <c r="A55" s="12" t="s">
        <v>93</v>
      </c>
      <c r="B55" s="18" t="n">
        <v>31</v>
      </c>
    </row>
    <row r="56" customFormat="false" ht="15" hidden="false" customHeight="false" outlineLevel="0" collapsed="false">
      <c r="A56" s="12" t="s">
        <v>94</v>
      </c>
      <c r="B56" s="18" t="n">
        <v>43</v>
      </c>
    </row>
    <row r="57" customFormat="false" ht="15" hidden="false" customHeight="false" outlineLevel="0" collapsed="false">
      <c r="A57" s="12" t="s">
        <v>95</v>
      </c>
      <c r="B57" s="18" t="n">
        <v>49</v>
      </c>
    </row>
    <row r="58" customFormat="false" ht="15" hidden="false" customHeight="false" outlineLevel="0" collapsed="false">
      <c r="A58" s="12" t="s">
        <v>96</v>
      </c>
      <c r="B58" s="23" t="n">
        <v>1500000</v>
      </c>
      <c r="F58" s="9" t="s">
        <v>97</v>
      </c>
    </row>
    <row r="60" customFormat="false" ht="18" hidden="false" customHeight="true" outlineLevel="0" collapsed="false">
      <c r="A60" s="10" t="s">
        <v>98</v>
      </c>
      <c r="B60" s="10"/>
      <c r="C60" s="10"/>
      <c r="D60" s="10"/>
      <c r="E60" s="10"/>
      <c r="F60" s="10"/>
    </row>
    <row r="61" customFormat="false" ht="15" hidden="false" customHeight="false" outlineLevel="0" collapsed="false">
      <c r="A61" s="12" t="s">
        <v>99</v>
      </c>
      <c r="B61" s="18" t="n">
        <v>25</v>
      </c>
      <c r="F61" s="9" t="s">
        <v>100</v>
      </c>
    </row>
    <row r="62" customFormat="false" ht="15" hidden="false" customHeight="false" outlineLevel="0" collapsed="false">
      <c r="A62" s="12" t="s">
        <v>101</v>
      </c>
      <c r="B62" s="13" t="n">
        <v>30000000</v>
      </c>
      <c r="F62" s="9" t="s">
        <v>102</v>
      </c>
    </row>
    <row r="63" customFormat="false" ht="15" hidden="false" customHeight="false" outlineLevel="0" collapsed="false">
      <c r="A63" s="12" t="s">
        <v>103</v>
      </c>
      <c r="B63" s="14" t="n">
        <v>0.05</v>
      </c>
    </row>
    <row r="64" customFormat="false" ht="15" hidden="false" customHeight="false" outlineLevel="0" collapsed="false">
      <c r="A64" s="12" t="s">
        <v>104</v>
      </c>
      <c r="B64" s="21" t="n">
        <v>0.3</v>
      </c>
      <c r="F64" s="9" t="s">
        <v>105</v>
      </c>
    </row>
    <row r="66" customFormat="false" ht="18" hidden="false" customHeight="true" outlineLevel="0" collapsed="false">
      <c r="A66" s="10" t="s">
        <v>106</v>
      </c>
      <c r="B66" s="10"/>
      <c r="C66" s="10"/>
      <c r="D66" s="10"/>
      <c r="E66" s="10"/>
      <c r="F66" s="10"/>
    </row>
    <row r="67" customFormat="false" ht="15" hidden="false" customHeight="false" outlineLevel="0" collapsed="false">
      <c r="A67" s="11" t="s">
        <v>80</v>
      </c>
      <c r="B67" s="11" t="s">
        <v>107</v>
      </c>
      <c r="C67" s="11" t="s">
        <v>108</v>
      </c>
      <c r="D67" s="11" t="s">
        <v>109</v>
      </c>
      <c r="E67" s="11" t="s">
        <v>110</v>
      </c>
    </row>
    <row r="68" customFormat="false" ht="15" hidden="false" customHeight="false" outlineLevel="0" collapsed="false">
      <c r="A68" s="22" t="n">
        <v>1</v>
      </c>
      <c r="B68" s="23" t="n">
        <v>1200000</v>
      </c>
      <c r="C68" s="23" t="n">
        <v>150000</v>
      </c>
      <c r="D68" s="23" t="n">
        <v>300000</v>
      </c>
      <c r="E68" s="23" t="n">
        <v>250000</v>
      </c>
      <c r="F68" s="9" t="s">
        <v>111</v>
      </c>
    </row>
    <row r="69" customFormat="false" ht="15" hidden="false" customHeight="false" outlineLevel="0" collapsed="false">
      <c r="A69" s="22" t="n">
        <v>2</v>
      </c>
      <c r="B69" s="23" t="n">
        <v>1500000</v>
      </c>
      <c r="C69" s="23" t="n">
        <v>250000</v>
      </c>
      <c r="D69" s="23" t="n">
        <v>700000</v>
      </c>
      <c r="E69" s="23" t="n">
        <v>400000</v>
      </c>
    </row>
    <row r="70" customFormat="false" ht="15" hidden="false" customHeight="false" outlineLevel="0" collapsed="false">
      <c r="A70" s="22" t="n">
        <v>3</v>
      </c>
      <c r="B70" s="23" t="n">
        <v>3000000</v>
      </c>
      <c r="C70" s="23" t="n">
        <v>400000</v>
      </c>
      <c r="D70" s="23" t="n">
        <v>1500000</v>
      </c>
      <c r="E70" s="23" t="n">
        <v>700000</v>
      </c>
    </row>
    <row r="71" customFormat="false" ht="15" hidden="false" customHeight="false" outlineLevel="0" collapsed="false">
      <c r="A71" s="22" t="n">
        <v>4</v>
      </c>
      <c r="B71" s="23" t="n">
        <v>5000000</v>
      </c>
      <c r="C71" s="23" t="n">
        <v>600000</v>
      </c>
      <c r="D71" s="23" t="n">
        <v>2500000</v>
      </c>
      <c r="E71" s="23" t="n">
        <v>1200000</v>
      </c>
    </row>
    <row r="72" customFormat="false" ht="15" hidden="false" customHeight="false" outlineLevel="0" collapsed="false">
      <c r="A72" s="22" t="n">
        <v>5</v>
      </c>
      <c r="B72" s="23" t="n">
        <v>8000000</v>
      </c>
      <c r="C72" s="23" t="n">
        <v>900000</v>
      </c>
      <c r="D72" s="23" t="n">
        <v>4000000</v>
      </c>
      <c r="E72" s="23" t="n">
        <v>1800000</v>
      </c>
    </row>
    <row r="74" customFormat="false" ht="15" hidden="false" customHeight="false" outlineLevel="0" collapsed="false">
      <c r="A74" s="12" t="s">
        <v>112</v>
      </c>
      <c r="B74" s="23" t="n">
        <v>0</v>
      </c>
      <c r="F74" s="9" t="s">
        <v>113</v>
      </c>
    </row>
  </sheetData>
  <mergeCells count="8">
    <mergeCell ref="A7:F7"/>
    <mergeCell ref="A17:F17"/>
    <mergeCell ref="A25:F25"/>
    <mergeCell ref="A35:F35"/>
    <mergeCell ref="A40:F40"/>
    <mergeCell ref="A49:F49"/>
    <mergeCell ref="A60:F60"/>
    <mergeCell ref="A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5"/>
    <col collapsed="false" customWidth="true" hidden="false" outlineLevel="0" max="14" min="13" style="0" width="16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0"/>
    <col collapsed="false" customWidth="true" hidden="false" outlineLevel="0" max="18" min="18" style="0" width="16"/>
    <col collapsed="false" customWidth="true" hidden="false" outlineLevel="0" max="19" min="19" style="0" width="17"/>
    <col collapsed="false" customWidth="true" hidden="false" outlineLevel="0" max="20" min="20" style="0" width="15"/>
    <col collapsed="false" customWidth="true" hidden="false" outlineLevel="0" max="21" min="21" style="0" width="14"/>
    <col collapsed="false" customWidth="true" hidden="false" outlineLevel="0" max="23" min="22" style="0" width="15"/>
    <col collapsed="false" customWidth="true" hidden="false" outlineLevel="0" max="24" min="24" style="0" width="12"/>
    <col collapsed="false" customWidth="true" hidden="false" outlineLevel="0" max="27" min="25" style="0" width="13"/>
    <col collapsed="false" customWidth="true" hidden="false" outlineLevel="0" max="30" min="28" style="0" width="14"/>
    <col collapsed="false" customWidth="true" hidden="false" outlineLevel="0" max="31" min="31" style="0" width="15"/>
    <col collapsed="false" customWidth="true" hidden="false" outlineLevel="0" max="32" min="32" style="0" width="16"/>
  </cols>
  <sheetData>
    <row r="1" customFormat="false" ht="17.35" hidden="false" customHeight="false" outlineLevel="0" collapsed="false">
      <c r="A1" s="8" t="s">
        <v>114</v>
      </c>
    </row>
    <row r="2" customFormat="false" ht="15" hidden="false" customHeight="false" outlineLevel="0" collapsed="false">
      <c r="A2" s="9" t="s">
        <v>115</v>
      </c>
    </row>
    <row r="3" customFormat="false" ht="30" hidden="false" customHeight="true" outlineLevel="0" collapsed="false">
      <c r="A3" s="24" t="s">
        <v>116</v>
      </c>
      <c r="B3" s="24" t="s">
        <v>80</v>
      </c>
      <c r="C3" s="24" t="s">
        <v>117</v>
      </c>
      <c r="D3" s="24" t="s">
        <v>118</v>
      </c>
      <c r="E3" s="24" t="s">
        <v>119</v>
      </c>
      <c r="F3" s="24" t="s">
        <v>120</v>
      </c>
      <c r="G3" s="24" t="s">
        <v>121</v>
      </c>
      <c r="H3" s="24" t="s">
        <v>122</v>
      </c>
      <c r="I3" s="24" t="s">
        <v>123</v>
      </c>
      <c r="J3" s="24" t="s">
        <v>124</v>
      </c>
      <c r="K3" s="24" t="s">
        <v>125</v>
      </c>
      <c r="L3" s="24" t="s">
        <v>126</v>
      </c>
      <c r="M3" s="24" t="s">
        <v>127</v>
      </c>
      <c r="N3" s="24" t="s">
        <v>128</v>
      </c>
      <c r="O3" s="24" t="s">
        <v>129</v>
      </c>
      <c r="P3" s="24" t="s">
        <v>130</v>
      </c>
      <c r="Q3" s="24" t="s">
        <v>131</v>
      </c>
      <c r="R3" s="24" t="s">
        <v>132</v>
      </c>
      <c r="S3" s="24" t="s">
        <v>133</v>
      </c>
      <c r="T3" s="24" t="s">
        <v>134</v>
      </c>
      <c r="U3" s="24" t="s">
        <v>135</v>
      </c>
      <c r="V3" s="24" t="s">
        <v>136</v>
      </c>
      <c r="W3" s="24" t="s">
        <v>137</v>
      </c>
      <c r="X3" s="24" t="s">
        <v>138</v>
      </c>
      <c r="Y3" s="24" t="s">
        <v>107</v>
      </c>
      <c r="Z3" s="24" t="s">
        <v>108</v>
      </c>
      <c r="AA3" s="24" t="s">
        <v>109</v>
      </c>
      <c r="AB3" s="24" t="s">
        <v>110</v>
      </c>
      <c r="AC3" s="24" t="s">
        <v>139</v>
      </c>
      <c r="AD3" s="24" t="s">
        <v>140</v>
      </c>
      <c r="AE3" s="24" t="s">
        <v>141</v>
      </c>
      <c r="AF3" s="24" t="s">
        <v>142</v>
      </c>
    </row>
    <row r="4" customFormat="false" ht="15" hidden="false" customHeight="false" outlineLevel="0" collapsed="false">
      <c r="A4" s="25" t="n">
        <v>1</v>
      </c>
      <c r="B4" s="22" t="n">
        <f aca="false">ROUNDUP(A4/12,0)</f>
        <v>1</v>
      </c>
      <c r="C4" s="25" t="n">
        <f aca="false">COUNTIF(Assumptions!$B$51:$B$57,"&lt;="&amp;A4)</f>
        <v>1</v>
      </c>
      <c r="D4" s="26" t="n">
        <f aca="false">INDEX(Assumptions!$B$42:$B$46,MATCH(B4,Assumptions!$A$42:$A$46,0))</f>
        <v>1</v>
      </c>
      <c r="E4" s="26" t="n">
        <f aca="false">Assumptions!$B$47+D4</f>
        <v>3</v>
      </c>
      <c r="F4" s="26" t="n">
        <f aca="false">MAX(0,E4-D4*(1-Assumptions!$B$31))</f>
        <v>2.4</v>
      </c>
      <c r="G4" s="26" t="n">
        <f aca="false">F4*Assumptions!$B$26</f>
        <v>14.4</v>
      </c>
      <c r="H4" s="26" t="n">
        <f aca="false">G4</f>
        <v>14.4</v>
      </c>
      <c r="I4" s="26" t="n">
        <f aca="false">MIN(F4*Assumptions!$B$27,H4*Assumptions!$B$28)</f>
        <v>43.2</v>
      </c>
      <c r="J4" s="26" t="n">
        <f aca="false">I4*Assumptions!$B$29</f>
        <v>5.184</v>
      </c>
      <c r="K4" s="26" t="n">
        <f aca="false">MAX(0,H4-J4)*(1-Assumptions!$B$30)</f>
        <v>8.47872</v>
      </c>
      <c r="L4" s="27" t="n">
        <f aca="false">Assumptions!$B$14*(1+Assumptions!$B$15)^((A4-1)/12)</f>
        <v>767500</v>
      </c>
      <c r="M4" s="27" t="n">
        <f aca="false">J4*L4*Assumptions!$B$18</f>
        <v>397872</v>
      </c>
      <c r="N4" s="27" t="n">
        <f aca="false">MAX(0,I4-J4)*Assumptions!$B$19</f>
        <v>76032</v>
      </c>
      <c r="O4" s="26" t="n">
        <f aca="false">IF(A4&gt;=Assumptions!$B$22,J4*Assumptions!$B$21,0)</f>
        <v>0</v>
      </c>
      <c r="P4" s="27" t="n">
        <f aca="false">O4*L4*Assumptions!$B$20/12</f>
        <v>0</v>
      </c>
      <c r="Q4" s="26" t="n">
        <f aca="false">IF(A4&gt;=Assumptions!$B$61,(A4-Assumptions!$B$61+1)*Assumptions!$B$64,0)</f>
        <v>0</v>
      </c>
      <c r="R4" s="27" t="n">
        <f aca="false">Q4*Assumptions!$B$62*Assumptions!$B$63</f>
        <v>0</v>
      </c>
      <c r="S4" s="17" t="n">
        <f aca="false">M4+N4+P4+R4</f>
        <v>473904</v>
      </c>
      <c r="T4" s="27" t="n">
        <f aca="false">M4*Assumptions!$B$37+R4*Assumptions!$B$38</f>
        <v>119361.6</v>
      </c>
      <c r="U4" s="27" t="n">
        <f aca="false">E4*Assumptions!$B$36</f>
        <v>240000</v>
      </c>
      <c r="V4" s="27" t="n">
        <f aca="false">T4+U4</f>
        <v>359361.6</v>
      </c>
      <c r="W4" s="27" t="n">
        <f aca="false">S4-V4</f>
        <v>114542.4</v>
      </c>
      <c r="X4" s="28" t="n">
        <f aca="false">IFERROR(W4/S4,0)</f>
        <v>0.241699584726021</v>
      </c>
      <c r="Y4" s="27" t="n">
        <f aca="false">INDEX(Assumptions!$B$68:$B$72,MATCH(B4,Assumptions!$A$68:$A$72,0))</f>
        <v>1200000</v>
      </c>
      <c r="Z4" s="27" t="n">
        <f aca="false">INDEX(Assumptions!$C$68:$C$72,MATCH(B4,Assumptions!$A$68:$A$72,0))</f>
        <v>150000</v>
      </c>
      <c r="AA4" s="27" t="n">
        <f aca="false">INDEX(Assumptions!$D$68:$D$72,MATCH(B4,Assumptions!$A$68:$A$72,0))</f>
        <v>300000</v>
      </c>
      <c r="AB4" s="27" t="n">
        <f aca="false">INDEX(Assumptions!$E$68:$E$72,MATCH(B4,Assumptions!$A$68:$A$72,0))</f>
        <v>250000</v>
      </c>
      <c r="AC4" s="27" t="n">
        <f aca="false">C4*Assumptions!$B$58</f>
        <v>1500000</v>
      </c>
      <c r="AD4" s="27" t="n">
        <f aca="false">SUM(Y4:AC4)</f>
        <v>3400000</v>
      </c>
      <c r="AE4" s="17" t="n">
        <f aca="false">W4-AD4</f>
        <v>-3285457.6</v>
      </c>
      <c r="AF4" s="27" t="n">
        <f aca="false">Assumptions!$B$74+AE4</f>
        <v>-3285457.6</v>
      </c>
    </row>
    <row r="5" customFormat="false" ht="15" hidden="false" customHeight="false" outlineLevel="0" collapsed="false">
      <c r="A5" s="25" t="n">
        <v>2</v>
      </c>
      <c r="B5" s="22" t="n">
        <f aca="false">ROUNDUP(A5/12,0)</f>
        <v>1</v>
      </c>
      <c r="C5" s="25" t="n">
        <f aca="false">COUNTIF(Assumptions!$B$51:$B$57,"&lt;="&amp;A5)</f>
        <v>1</v>
      </c>
      <c r="D5" s="26" t="n">
        <f aca="false">INDEX(Assumptions!$B$42:$B$46,MATCH(B5,Assumptions!$A$42:$A$46,0))</f>
        <v>1</v>
      </c>
      <c r="E5" s="26" t="n">
        <f aca="false">E4*(1-Assumptions!$B$33)+D5</f>
        <v>3.91</v>
      </c>
      <c r="F5" s="26" t="n">
        <f aca="false">MAX(0,E5-D5*(1-Assumptions!$B$31)-D4*(1-Assumptions!$B$32))</f>
        <v>3.06</v>
      </c>
      <c r="G5" s="26" t="n">
        <f aca="false">F5*Assumptions!$B$26</f>
        <v>18.36</v>
      </c>
      <c r="H5" s="26" t="n">
        <f aca="false">K4+G5</f>
        <v>26.83872</v>
      </c>
      <c r="I5" s="26" t="n">
        <f aca="false">MIN(F5*Assumptions!$B$27,H5*Assumptions!$B$28)</f>
        <v>80.51616</v>
      </c>
      <c r="J5" s="26" t="n">
        <f aca="false">I5*Assumptions!$B$29</f>
        <v>9.6619392</v>
      </c>
      <c r="K5" s="26" t="n">
        <f aca="false">MAX(0,H5-J5)*(1-Assumptions!$B$30)</f>
        <v>15.802638336</v>
      </c>
      <c r="L5" s="27" t="n">
        <f aca="false">Assumptions!$B$14*(1+Assumptions!$B$15)^((A5-1)/12)</f>
        <v>776491.198735987</v>
      </c>
      <c r="M5" s="27" t="n">
        <f aca="false">J5*L5*Assumptions!$B$18</f>
        <v>750241.075152223</v>
      </c>
      <c r="N5" s="27" t="n">
        <f aca="false">MAX(0,I5-J5)*Assumptions!$B$19</f>
        <v>141708.4416</v>
      </c>
      <c r="O5" s="26" t="n">
        <f aca="false">O4*(1-Assumptions!$B$23/12)+IF(A5&gt;=Assumptions!$B$22,J5*Assumptions!$B$21,0)</f>
        <v>0</v>
      </c>
      <c r="P5" s="27" t="n">
        <f aca="false">O5*L5*Assumptions!$B$20/12</f>
        <v>0</v>
      </c>
      <c r="Q5" s="26" t="n">
        <f aca="false">IF(A5&gt;=Assumptions!$B$61,(A5-Assumptions!$B$61+1)*Assumptions!$B$64,0)</f>
        <v>0</v>
      </c>
      <c r="R5" s="27" t="n">
        <f aca="false">Q5*Assumptions!$B$62*Assumptions!$B$63</f>
        <v>0</v>
      </c>
      <c r="S5" s="17" t="n">
        <f aca="false">M5+N5+P5+R5</f>
        <v>891949.516752223</v>
      </c>
      <c r="T5" s="27" t="n">
        <f aca="false">M5*Assumptions!$B$37+R5*Assumptions!$B$38</f>
        <v>225072.322545667</v>
      </c>
      <c r="U5" s="27" t="n">
        <f aca="false">E5*Assumptions!$B$36</f>
        <v>312800</v>
      </c>
      <c r="V5" s="27" t="n">
        <f aca="false">T5+U5</f>
        <v>537872.322545667</v>
      </c>
      <c r="W5" s="27" t="n">
        <f aca="false">S5-V5</f>
        <v>354077.194206556</v>
      </c>
      <c r="X5" s="28" t="n">
        <f aca="false">IFERROR(W5/S5,0)</f>
        <v>0.396969993880176</v>
      </c>
      <c r="Y5" s="27" t="n">
        <f aca="false">INDEX(Assumptions!$B$68:$B$72,MATCH(B5,Assumptions!$A$68:$A$72,0))</f>
        <v>1200000</v>
      </c>
      <c r="Z5" s="27" t="n">
        <f aca="false">INDEX(Assumptions!$C$68:$C$72,MATCH(B5,Assumptions!$A$68:$A$72,0))</f>
        <v>150000</v>
      </c>
      <c r="AA5" s="27" t="n">
        <f aca="false">INDEX(Assumptions!$D$68:$D$72,MATCH(B5,Assumptions!$A$68:$A$72,0))</f>
        <v>300000</v>
      </c>
      <c r="AB5" s="27" t="n">
        <f aca="false">INDEX(Assumptions!$E$68:$E$72,MATCH(B5,Assumptions!$A$68:$A$72,0))</f>
        <v>250000</v>
      </c>
      <c r="AC5" s="27" t="n">
        <f aca="false">MAX(0,C5-C4)*Assumptions!$B$58</f>
        <v>0</v>
      </c>
      <c r="AD5" s="27" t="n">
        <f aca="false">SUM(Y5:AC5)</f>
        <v>1900000</v>
      </c>
      <c r="AE5" s="17" t="n">
        <f aca="false">W5-AD5</f>
        <v>-1545922.80579344</v>
      </c>
      <c r="AF5" s="27" t="n">
        <f aca="false">AF4+AE5</f>
        <v>-4831380.40579344</v>
      </c>
    </row>
    <row r="6" customFormat="false" ht="15" hidden="false" customHeight="false" outlineLevel="0" collapsed="false">
      <c r="A6" s="25" t="n">
        <v>3</v>
      </c>
      <c r="B6" s="22" t="n">
        <f aca="false">ROUNDUP(A6/12,0)</f>
        <v>1</v>
      </c>
      <c r="C6" s="25" t="n">
        <f aca="false">COUNTIF(Assumptions!$B$51:$B$57,"&lt;="&amp;A6)</f>
        <v>1</v>
      </c>
      <c r="D6" s="26" t="n">
        <f aca="false">INDEX(Assumptions!$B$42:$B$46,MATCH(B6,Assumptions!$A$42:$A$46,0))</f>
        <v>1</v>
      </c>
      <c r="E6" s="26" t="n">
        <f aca="false">E5*(1-Assumptions!$B$33)+D6</f>
        <v>4.7927</v>
      </c>
      <c r="F6" s="26" t="n">
        <f aca="false">MAX(0,E6-D6*(1-Assumptions!$B$31)-D5*(1-Assumptions!$B$32))</f>
        <v>3.9427</v>
      </c>
      <c r="G6" s="26" t="n">
        <f aca="false">F6*Assumptions!$B$26</f>
        <v>23.6562</v>
      </c>
      <c r="H6" s="26" t="n">
        <f aca="false">K5+G6</f>
        <v>39.458838336</v>
      </c>
      <c r="I6" s="26" t="n">
        <f aca="false">MIN(F6*Assumptions!$B$27,H6*Assumptions!$B$28)</f>
        <v>118.376515008</v>
      </c>
      <c r="J6" s="26" t="n">
        <f aca="false">I6*Assumptions!$B$29</f>
        <v>14.20518180096</v>
      </c>
      <c r="K6" s="26" t="n">
        <f aca="false">MAX(0,H6-J6)*(1-Assumptions!$B$30)</f>
        <v>23.2333640122368</v>
      </c>
      <c r="L6" s="27" t="n">
        <f aca="false">Assumptions!$B$14*(1+Assumptions!$B$15)^((A6-1)/12)</f>
        <v>785587.728618177</v>
      </c>
      <c r="M6" s="27" t="n">
        <f aca="false">J6*L6*Assumptions!$B$18</f>
        <v>1115941.65056244</v>
      </c>
      <c r="N6" s="27" t="n">
        <f aca="false">MAX(0,I6-J6)*Assumptions!$B$19</f>
        <v>208342.66641408</v>
      </c>
      <c r="O6" s="26" t="n">
        <f aca="false">O5*(1-Assumptions!$B$23/12)+IF(A6&gt;=Assumptions!$B$22,J6*Assumptions!$B$21,0)</f>
        <v>0</v>
      </c>
      <c r="P6" s="27" t="n">
        <f aca="false">O6*L6*Assumptions!$B$20/12</f>
        <v>0</v>
      </c>
      <c r="Q6" s="26" t="n">
        <f aca="false">IF(A6&gt;=Assumptions!$B$61,(A6-Assumptions!$B$61+1)*Assumptions!$B$64,0)</f>
        <v>0</v>
      </c>
      <c r="R6" s="27" t="n">
        <f aca="false">Q6*Assumptions!$B$62*Assumptions!$B$63</f>
        <v>0</v>
      </c>
      <c r="S6" s="17" t="n">
        <f aca="false">M6+N6+P6+R6</f>
        <v>1324284.31697652</v>
      </c>
      <c r="T6" s="27" t="n">
        <f aca="false">M6*Assumptions!$B$37+R6*Assumptions!$B$38</f>
        <v>334782.495168733</v>
      </c>
      <c r="U6" s="27" t="n">
        <f aca="false">E6*Assumptions!$B$36</f>
        <v>383416</v>
      </c>
      <c r="V6" s="27" t="n">
        <f aca="false">T6+U6</f>
        <v>718198.495168733</v>
      </c>
      <c r="W6" s="27" t="n">
        <f aca="false">S6-V6</f>
        <v>606085.82180779</v>
      </c>
      <c r="X6" s="28" t="n">
        <f aca="false">IFERROR(W6/S6,0)</f>
        <v>0.45767046701236</v>
      </c>
      <c r="Y6" s="27" t="n">
        <f aca="false">INDEX(Assumptions!$B$68:$B$72,MATCH(B6,Assumptions!$A$68:$A$72,0))</f>
        <v>1200000</v>
      </c>
      <c r="Z6" s="27" t="n">
        <f aca="false">INDEX(Assumptions!$C$68:$C$72,MATCH(B6,Assumptions!$A$68:$A$72,0))</f>
        <v>150000</v>
      </c>
      <c r="AA6" s="27" t="n">
        <f aca="false">INDEX(Assumptions!$D$68:$D$72,MATCH(B6,Assumptions!$A$68:$A$72,0))</f>
        <v>300000</v>
      </c>
      <c r="AB6" s="27" t="n">
        <f aca="false">INDEX(Assumptions!$E$68:$E$72,MATCH(B6,Assumptions!$A$68:$A$72,0))</f>
        <v>250000</v>
      </c>
      <c r="AC6" s="27" t="n">
        <f aca="false">MAX(0,C6-C5)*Assumptions!$B$58</f>
        <v>0</v>
      </c>
      <c r="AD6" s="27" t="n">
        <f aca="false">SUM(Y6:AC6)</f>
        <v>1900000</v>
      </c>
      <c r="AE6" s="17" t="n">
        <f aca="false">W6-AD6</f>
        <v>-1293914.17819221</v>
      </c>
      <c r="AF6" s="27" t="n">
        <f aca="false">AF5+AE6</f>
        <v>-6125294.58398566</v>
      </c>
    </row>
    <row r="7" customFormat="false" ht="15" hidden="false" customHeight="false" outlineLevel="0" collapsed="false">
      <c r="A7" s="25" t="n">
        <v>4</v>
      </c>
      <c r="B7" s="22" t="n">
        <f aca="false">ROUNDUP(A7/12,0)</f>
        <v>1</v>
      </c>
      <c r="C7" s="25" t="n">
        <f aca="false">COUNTIF(Assumptions!$B$51:$B$57,"&lt;="&amp;A7)</f>
        <v>1</v>
      </c>
      <c r="D7" s="26" t="n">
        <f aca="false">INDEX(Assumptions!$B$42:$B$46,MATCH(B7,Assumptions!$A$42:$A$46,0))</f>
        <v>1</v>
      </c>
      <c r="E7" s="26" t="n">
        <f aca="false">E6*(1-Assumptions!$B$33)+D7</f>
        <v>5.648919</v>
      </c>
      <c r="F7" s="26" t="n">
        <f aca="false">MAX(0,E7-D7*(1-Assumptions!$B$31)-D6*(1-Assumptions!$B$32))</f>
        <v>4.798919</v>
      </c>
      <c r="G7" s="26" t="n">
        <f aca="false">F7*Assumptions!$B$26</f>
        <v>28.793514</v>
      </c>
      <c r="H7" s="26" t="n">
        <f aca="false">K6+G7</f>
        <v>52.0268780122368</v>
      </c>
      <c r="I7" s="26" t="n">
        <f aca="false">MIN(F7*Assumptions!$B$27,H7*Assumptions!$B$28)</f>
        <v>156.08063403671</v>
      </c>
      <c r="J7" s="26" t="n">
        <f aca="false">I7*Assumptions!$B$29</f>
        <v>18.7296760844053</v>
      </c>
      <c r="K7" s="26" t="n">
        <f aca="false">MAX(0,H7-J7)*(1-Assumptions!$B$30)</f>
        <v>30.633425773605</v>
      </c>
      <c r="L7" s="27" t="n">
        <f aca="false">Assumptions!$B$14*(1+Assumptions!$B$15)^((A7-1)/12)</f>
        <v>794790.823592195</v>
      </c>
      <c r="M7" s="27" t="n">
        <f aca="false">J7*L7*Assumptions!$B$18</f>
        <v>1488617.46807395</v>
      </c>
      <c r="N7" s="27" t="n">
        <f aca="false">MAX(0,I7-J7)*Assumptions!$B$19</f>
        <v>274701.91590461</v>
      </c>
      <c r="O7" s="26" t="n">
        <f aca="false">O6*(1-Assumptions!$B$23/12)+IF(A7&gt;=Assumptions!$B$22,J7*Assumptions!$B$21,0)</f>
        <v>0</v>
      </c>
      <c r="P7" s="27" t="n">
        <f aca="false">O7*L7*Assumptions!$B$20/12</f>
        <v>0</v>
      </c>
      <c r="Q7" s="26" t="n">
        <f aca="false">IF(A7&gt;=Assumptions!$B$61,(A7-Assumptions!$B$61+1)*Assumptions!$B$64,0)</f>
        <v>0</v>
      </c>
      <c r="R7" s="27" t="n">
        <f aca="false">Q7*Assumptions!$B$62*Assumptions!$B$63</f>
        <v>0</v>
      </c>
      <c r="S7" s="17" t="n">
        <f aca="false">M7+N7+P7+R7</f>
        <v>1763319.38397856</v>
      </c>
      <c r="T7" s="27" t="n">
        <f aca="false">M7*Assumptions!$B$37+R7*Assumptions!$B$38</f>
        <v>446585.240422185</v>
      </c>
      <c r="U7" s="27" t="n">
        <f aca="false">E7*Assumptions!$B$36</f>
        <v>451913.52</v>
      </c>
      <c r="V7" s="27" t="n">
        <f aca="false">T7+U7</f>
        <v>898498.760422185</v>
      </c>
      <c r="W7" s="27" t="n">
        <f aca="false">S7-V7</f>
        <v>864820.623556374</v>
      </c>
      <c r="X7" s="28" t="n">
        <f aca="false">IFERROR(W7/S7,0)</f>
        <v>0.490450358235777</v>
      </c>
      <c r="Y7" s="27" t="n">
        <f aca="false">INDEX(Assumptions!$B$68:$B$72,MATCH(B7,Assumptions!$A$68:$A$72,0))</f>
        <v>1200000</v>
      </c>
      <c r="Z7" s="27" t="n">
        <f aca="false">INDEX(Assumptions!$C$68:$C$72,MATCH(B7,Assumptions!$A$68:$A$72,0))</f>
        <v>150000</v>
      </c>
      <c r="AA7" s="27" t="n">
        <f aca="false">INDEX(Assumptions!$D$68:$D$72,MATCH(B7,Assumptions!$A$68:$A$72,0))</f>
        <v>300000</v>
      </c>
      <c r="AB7" s="27" t="n">
        <f aca="false">INDEX(Assumptions!$E$68:$E$72,MATCH(B7,Assumptions!$A$68:$A$72,0))</f>
        <v>250000</v>
      </c>
      <c r="AC7" s="27" t="n">
        <f aca="false">MAX(0,C7-C6)*Assumptions!$B$58</f>
        <v>0</v>
      </c>
      <c r="AD7" s="27" t="n">
        <f aca="false">SUM(Y7:AC7)</f>
        <v>1900000</v>
      </c>
      <c r="AE7" s="17" t="n">
        <f aca="false">W7-AD7</f>
        <v>-1035179.37644363</v>
      </c>
      <c r="AF7" s="27" t="n">
        <f aca="false">AF6+AE7</f>
        <v>-7160473.96042928</v>
      </c>
    </row>
    <row r="8" customFormat="false" ht="15" hidden="false" customHeight="false" outlineLevel="0" collapsed="false">
      <c r="A8" s="25" t="n">
        <v>5</v>
      </c>
      <c r="B8" s="22" t="n">
        <f aca="false">ROUNDUP(A8/12,0)</f>
        <v>1</v>
      </c>
      <c r="C8" s="25" t="n">
        <f aca="false">COUNTIF(Assumptions!$B$51:$B$57,"&lt;="&amp;A8)</f>
        <v>1</v>
      </c>
      <c r="D8" s="26" t="n">
        <f aca="false">INDEX(Assumptions!$B$42:$B$46,MATCH(B8,Assumptions!$A$42:$A$46,0))</f>
        <v>1</v>
      </c>
      <c r="E8" s="26" t="n">
        <f aca="false">E7*(1-Assumptions!$B$33)+D8</f>
        <v>6.47945143</v>
      </c>
      <c r="F8" s="26" t="n">
        <f aca="false">MAX(0,E8-D8*(1-Assumptions!$B$31)-D7*(1-Assumptions!$B$32))</f>
        <v>5.62945143</v>
      </c>
      <c r="G8" s="26" t="n">
        <f aca="false">F8*Assumptions!$B$26</f>
        <v>33.77670858</v>
      </c>
      <c r="H8" s="26" t="n">
        <f aca="false">K7+G8</f>
        <v>64.4101343536051</v>
      </c>
      <c r="I8" s="26" t="n">
        <f aca="false">MIN(F8*Assumptions!$B$27,H8*Assumptions!$B$28)</f>
        <v>193.230403060815</v>
      </c>
      <c r="J8" s="26" t="n">
        <f aca="false">I8*Assumptions!$B$29</f>
        <v>23.1876483672978</v>
      </c>
      <c r="K8" s="26" t="n">
        <f aca="false">MAX(0,H8-J8)*(1-Assumptions!$B$30)</f>
        <v>37.9246871074027</v>
      </c>
      <c r="L8" s="27" t="n">
        <f aca="false">Assumptions!$B$14*(1+Assumptions!$B$15)^((A8-1)/12)</f>
        <v>804101.732059239</v>
      </c>
      <c r="M8" s="27" t="n">
        <f aca="false">J8*L8*Assumptions!$B$18</f>
        <v>1864522.82145248</v>
      </c>
      <c r="N8" s="27" t="n">
        <f aca="false">MAX(0,I8-J8)*Assumptions!$B$19</f>
        <v>340085.509387035</v>
      </c>
      <c r="O8" s="26" t="n">
        <f aca="false">O7*(1-Assumptions!$B$23/12)+IF(A8&gt;=Assumptions!$B$22,J8*Assumptions!$B$21,0)</f>
        <v>0</v>
      </c>
      <c r="P8" s="27" t="n">
        <f aca="false">O8*L8*Assumptions!$B$20/12</f>
        <v>0</v>
      </c>
      <c r="Q8" s="26" t="n">
        <f aca="false">IF(A8&gt;=Assumptions!$B$61,(A8-Assumptions!$B$61+1)*Assumptions!$B$64,0)</f>
        <v>0</v>
      </c>
      <c r="R8" s="27" t="n">
        <f aca="false">Q8*Assumptions!$B$62*Assumptions!$B$63</f>
        <v>0</v>
      </c>
      <c r="S8" s="17" t="n">
        <f aca="false">M8+N8+P8+R8</f>
        <v>2204608.33083951</v>
      </c>
      <c r="T8" s="27" t="n">
        <f aca="false">M8*Assumptions!$B$37+R8*Assumptions!$B$38</f>
        <v>559356.846435743</v>
      </c>
      <c r="U8" s="27" t="n">
        <f aca="false">E8*Assumptions!$B$36</f>
        <v>518356.1144</v>
      </c>
      <c r="V8" s="27" t="n">
        <f aca="false">T8+U8</f>
        <v>1077712.96083574</v>
      </c>
      <c r="W8" s="27" t="n">
        <f aca="false">S8-V8</f>
        <v>1126895.37000377</v>
      </c>
      <c r="X8" s="28" t="n">
        <f aca="false">IFERROR(W8/S8,0)</f>
        <v>0.511154455074861</v>
      </c>
      <c r="Y8" s="27" t="n">
        <f aca="false">INDEX(Assumptions!$B$68:$B$72,MATCH(B8,Assumptions!$A$68:$A$72,0))</f>
        <v>1200000</v>
      </c>
      <c r="Z8" s="27" t="n">
        <f aca="false">INDEX(Assumptions!$C$68:$C$72,MATCH(B8,Assumptions!$A$68:$A$72,0))</f>
        <v>150000</v>
      </c>
      <c r="AA8" s="27" t="n">
        <f aca="false">INDEX(Assumptions!$D$68:$D$72,MATCH(B8,Assumptions!$A$68:$A$72,0))</f>
        <v>300000</v>
      </c>
      <c r="AB8" s="27" t="n">
        <f aca="false">INDEX(Assumptions!$E$68:$E$72,MATCH(B8,Assumptions!$A$68:$A$72,0))</f>
        <v>250000</v>
      </c>
      <c r="AC8" s="27" t="n">
        <f aca="false">MAX(0,C8-C7)*Assumptions!$B$58</f>
        <v>0</v>
      </c>
      <c r="AD8" s="27" t="n">
        <f aca="false">SUM(Y8:AC8)</f>
        <v>1900000</v>
      </c>
      <c r="AE8" s="17" t="n">
        <f aca="false">W8-AD8</f>
        <v>-773104.629996231</v>
      </c>
      <c r="AF8" s="27" t="n">
        <f aca="false">AF7+AE8</f>
        <v>-7933578.59042551</v>
      </c>
    </row>
    <row r="9" customFormat="false" ht="15" hidden="false" customHeight="false" outlineLevel="0" collapsed="false">
      <c r="A9" s="25" t="n">
        <v>6</v>
      </c>
      <c r="B9" s="22" t="n">
        <f aca="false">ROUNDUP(A9/12,0)</f>
        <v>1</v>
      </c>
      <c r="C9" s="25" t="n">
        <f aca="false">COUNTIF(Assumptions!$B$51:$B$57,"&lt;="&amp;A9)</f>
        <v>1</v>
      </c>
      <c r="D9" s="26" t="n">
        <f aca="false">INDEX(Assumptions!$B$42:$B$46,MATCH(B9,Assumptions!$A$42:$A$46,0))</f>
        <v>1</v>
      </c>
      <c r="E9" s="26" t="n">
        <f aca="false">E8*(1-Assumptions!$B$33)+D9</f>
        <v>7.2850678871</v>
      </c>
      <c r="F9" s="26" t="n">
        <f aca="false">MAX(0,E9-D9*(1-Assumptions!$B$31)-D8*(1-Assumptions!$B$32))</f>
        <v>6.4350678871</v>
      </c>
      <c r="G9" s="26" t="n">
        <f aca="false">F9*Assumptions!$B$26</f>
        <v>38.6104073226</v>
      </c>
      <c r="H9" s="26" t="n">
        <f aca="false">K8+G9</f>
        <v>76.5350944300027</v>
      </c>
      <c r="I9" s="26" t="n">
        <f aca="false">MIN(F9*Assumptions!$B$27,H9*Assumptions!$B$28)</f>
        <v>229.605283290008</v>
      </c>
      <c r="J9" s="26" t="n">
        <f aca="false">I9*Assumptions!$B$29</f>
        <v>27.552633994801</v>
      </c>
      <c r="K9" s="26" t="n">
        <f aca="false">MAX(0,H9-J9)*(1-Assumptions!$B$30)</f>
        <v>45.0638636003856</v>
      </c>
      <c r="L9" s="27" t="n">
        <f aca="false">Assumptions!$B$14*(1+Assumptions!$B$15)^((A9-1)/12)</f>
        <v>813521.717045424</v>
      </c>
      <c r="M9" s="27" t="n">
        <f aca="false">J9*L9*Assumptions!$B$18</f>
        <v>2241466.61165746</v>
      </c>
      <c r="N9" s="27" t="n">
        <f aca="false">MAX(0,I9-J9)*Assumptions!$B$19</f>
        <v>404105.298590414</v>
      </c>
      <c r="O9" s="26" t="n">
        <f aca="false">O8*(1-Assumptions!$B$23/12)+IF(A9&gt;=Assumptions!$B$22,J9*Assumptions!$B$21,0)</f>
        <v>0</v>
      </c>
      <c r="P9" s="27" t="n">
        <f aca="false">O9*L9*Assumptions!$B$20/12</f>
        <v>0</v>
      </c>
      <c r="Q9" s="26" t="n">
        <f aca="false">IF(A9&gt;=Assumptions!$B$61,(A9-Assumptions!$B$61+1)*Assumptions!$B$64,0)</f>
        <v>0</v>
      </c>
      <c r="R9" s="27" t="n">
        <f aca="false">Q9*Assumptions!$B$62*Assumptions!$B$63</f>
        <v>0</v>
      </c>
      <c r="S9" s="17" t="n">
        <f aca="false">M9+N9+P9+R9</f>
        <v>2645571.91024787</v>
      </c>
      <c r="T9" s="27" t="n">
        <f aca="false">M9*Assumptions!$B$37+R9*Assumptions!$B$38</f>
        <v>672439.983497237</v>
      </c>
      <c r="U9" s="27" t="n">
        <f aca="false">E9*Assumptions!$B$36</f>
        <v>582805.430968</v>
      </c>
      <c r="V9" s="27" t="n">
        <f aca="false">T9+U9</f>
        <v>1255245.41446524</v>
      </c>
      <c r="W9" s="27" t="n">
        <f aca="false">S9-V9</f>
        <v>1390326.49578263</v>
      </c>
      <c r="X9" s="28" t="n">
        <f aca="false">IFERROR(W9/S9,0)</f>
        <v>0.525529655949655</v>
      </c>
      <c r="Y9" s="27" t="n">
        <f aca="false">INDEX(Assumptions!$B$68:$B$72,MATCH(B9,Assumptions!$A$68:$A$72,0))</f>
        <v>1200000</v>
      </c>
      <c r="Z9" s="27" t="n">
        <f aca="false">INDEX(Assumptions!$C$68:$C$72,MATCH(B9,Assumptions!$A$68:$A$72,0))</f>
        <v>150000</v>
      </c>
      <c r="AA9" s="27" t="n">
        <f aca="false">INDEX(Assumptions!$D$68:$D$72,MATCH(B9,Assumptions!$A$68:$A$72,0))</f>
        <v>300000</v>
      </c>
      <c r="AB9" s="27" t="n">
        <f aca="false">INDEX(Assumptions!$E$68:$E$72,MATCH(B9,Assumptions!$A$68:$A$72,0))</f>
        <v>250000</v>
      </c>
      <c r="AC9" s="27" t="n">
        <f aca="false">MAX(0,C9-C8)*Assumptions!$B$58</f>
        <v>0</v>
      </c>
      <c r="AD9" s="27" t="n">
        <f aca="false">SUM(Y9:AC9)</f>
        <v>1900000</v>
      </c>
      <c r="AE9" s="17" t="n">
        <f aca="false">W9-AD9</f>
        <v>-509673.504217366</v>
      </c>
      <c r="AF9" s="27" t="n">
        <f aca="false">AF8+AE9</f>
        <v>-8443252.09464288</v>
      </c>
    </row>
    <row r="10" customFormat="false" ht="15" hidden="false" customHeight="false" outlineLevel="0" collapsed="false">
      <c r="A10" s="25" t="n">
        <v>7</v>
      </c>
      <c r="B10" s="22" t="n">
        <f aca="false">ROUNDUP(A10/12,0)</f>
        <v>1</v>
      </c>
      <c r="C10" s="25" t="n">
        <f aca="false">COUNTIF(Assumptions!$B$51:$B$57,"&lt;="&amp;A10)</f>
        <v>1</v>
      </c>
      <c r="D10" s="26" t="n">
        <f aca="false">INDEX(Assumptions!$B$42:$B$46,MATCH(B10,Assumptions!$A$42:$A$46,0))</f>
        <v>1</v>
      </c>
      <c r="E10" s="26" t="n">
        <f aca="false">E9*(1-Assumptions!$B$33)+D10</f>
        <v>8.066515850487</v>
      </c>
      <c r="F10" s="26" t="n">
        <f aca="false">MAX(0,E10-D10*(1-Assumptions!$B$31)-D9*(1-Assumptions!$B$32))</f>
        <v>7.216515850487</v>
      </c>
      <c r="G10" s="26" t="n">
        <f aca="false">F10*Assumptions!$B$26</f>
        <v>43.299095102922</v>
      </c>
      <c r="H10" s="26" t="n">
        <f aca="false">K9+G10</f>
        <v>88.3629587033076</v>
      </c>
      <c r="I10" s="26" t="n">
        <f aca="false">MIN(F10*Assumptions!$B$27,H10*Assumptions!$B$28)</f>
        <v>265.088876109923</v>
      </c>
      <c r="J10" s="26" t="n">
        <f aca="false">I10*Assumptions!$B$29</f>
        <v>31.8106651331907</v>
      </c>
      <c r="K10" s="26" t="n">
        <f aca="false">MAX(0,H10-J10)*(1-Assumptions!$B$30)</f>
        <v>52.0281100845075</v>
      </c>
      <c r="L10" s="27" t="n">
        <f aca="false">Assumptions!$B$14*(1+Assumptions!$B$15)^((A10-1)/12)</f>
        <v>823052.056373107</v>
      </c>
      <c r="M10" s="27" t="n">
        <f aca="false">J10*L10*Assumptions!$B$18</f>
        <v>2618183.33524689</v>
      </c>
      <c r="N10" s="27" t="n">
        <f aca="false">MAX(0,I10-J10)*Assumptions!$B$19</f>
        <v>466556.421953464</v>
      </c>
      <c r="O10" s="26" t="n">
        <f aca="false">O9*(1-Assumptions!$B$23/12)+IF(A10&gt;=Assumptions!$B$22,J10*Assumptions!$B$21,0)</f>
        <v>0</v>
      </c>
      <c r="P10" s="27" t="n">
        <f aca="false">O10*L10*Assumptions!$B$20/12</f>
        <v>0</v>
      </c>
      <c r="Q10" s="26" t="n">
        <f aca="false">IF(A10&gt;=Assumptions!$B$61,(A10-Assumptions!$B$61+1)*Assumptions!$B$64,0)</f>
        <v>0</v>
      </c>
      <c r="R10" s="27" t="n">
        <f aca="false">Q10*Assumptions!$B$62*Assumptions!$B$63</f>
        <v>0</v>
      </c>
      <c r="S10" s="17" t="n">
        <f aca="false">M10+N10+P10+R10</f>
        <v>3084739.75720036</v>
      </c>
      <c r="T10" s="27" t="n">
        <f aca="false">M10*Assumptions!$B$37+R10*Assumptions!$B$38</f>
        <v>785455.000574068</v>
      </c>
      <c r="U10" s="27" t="n">
        <f aca="false">E10*Assumptions!$B$36</f>
        <v>645321.26803896</v>
      </c>
      <c r="V10" s="27" t="n">
        <f aca="false">T10+U10</f>
        <v>1430776.26861303</v>
      </c>
      <c r="W10" s="27" t="n">
        <f aca="false">S10-V10</f>
        <v>1653963.48858733</v>
      </c>
      <c r="X10" s="28" t="n">
        <f aca="false">IFERROR(W10/S10,0)</f>
        <v>0.536176020919324</v>
      </c>
      <c r="Y10" s="27" t="n">
        <f aca="false">INDEX(Assumptions!$B$68:$B$72,MATCH(B10,Assumptions!$A$68:$A$72,0))</f>
        <v>1200000</v>
      </c>
      <c r="Z10" s="27" t="n">
        <f aca="false">INDEX(Assumptions!$C$68:$C$72,MATCH(B10,Assumptions!$A$68:$A$72,0))</f>
        <v>150000</v>
      </c>
      <c r="AA10" s="27" t="n">
        <f aca="false">INDEX(Assumptions!$D$68:$D$72,MATCH(B10,Assumptions!$A$68:$A$72,0))</f>
        <v>300000</v>
      </c>
      <c r="AB10" s="27" t="n">
        <f aca="false">INDEX(Assumptions!$E$68:$E$72,MATCH(B10,Assumptions!$A$68:$A$72,0))</f>
        <v>250000</v>
      </c>
      <c r="AC10" s="27" t="n">
        <f aca="false">MAX(0,C10-C9)*Assumptions!$B$58</f>
        <v>0</v>
      </c>
      <c r="AD10" s="27" t="n">
        <f aca="false">SUM(Y10:AC10)</f>
        <v>1900000</v>
      </c>
      <c r="AE10" s="17" t="n">
        <f aca="false">W10-AD10</f>
        <v>-246036.511412671</v>
      </c>
      <c r="AF10" s="27" t="n">
        <f aca="false">AF9+AE10</f>
        <v>-8689288.60605555</v>
      </c>
    </row>
    <row r="11" customFormat="false" ht="15" hidden="false" customHeight="false" outlineLevel="0" collapsed="false">
      <c r="A11" s="25" t="n">
        <v>8</v>
      </c>
      <c r="B11" s="22" t="n">
        <f aca="false">ROUNDUP(A11/12,0)</f>
        <v>1</v>
      </c>
      <c r="C11" s="25" t="n">
        <f aca="false">COUNTIF(Assumptions!$B$51:$B$57,"&lt;="&amp;A11)</f>
        <v>1</v>
      </c>
      <c r="D11" s="26" t="n">
        <f aca="false">INDEX(Assumptions!$B$42:$B$46,MATCH(B11,Assumptions!$A$42:$A$46,0))</f>
        <v>1</v>
      </c>
      <c r="E11" s="26" t="n">
        <f aca="false">E10*(1-Assumptions!$B$33)+D11</f>
        <v>8.82452037497239</v>
      </c>
      <c r="F11" s="26" t="n">
        <f aca="false">MAX(0,E11-D11*(1-Assumptions!$B$31)-D10*(1-Assumptions!$B$32))</f>
        <v>7.97452037497239</v>
      </c>
      <c r="G11" s="26" t="n">
        <f aca="false">F11*Assumptions!$B$26</f>
        <v>47.8471222498343</v>
      </c>
      <c r="H11" s="26" t="n">
        <f aca="false">K10+G11</f>
        <v>99.8752323343419</v>
      </c>
      <c r="I11" s="26" t="n">
        <f aca="false">MIN(F11*Assumptions!$B$27,H11*Assumptions!$B$28)</f>
        <v>299.625697003026</v>
      </c>
      <c r="J11" s="26" t="n">
        <f aca="false">I11*Assumptions!$B$29</f>
        <v>35.9550836403631</v>
      </c>
      <c r="K11" s="26" t="n">
        <f aca="false">MAX(0,H11-J11)*(1-Assumptions!$B$30)</f>
        <v>58.8065367984605</v>
      </c>
      <c r="L11" s="27" t="n">
        <f aca="false">Assumptions!$B$14*(1+Assumptions!$B$15)^((A11-1)/12)</f>
        <v>832694.042834232</v>
      </c>
      <c r="M11" s="27" t="n">
        <f aca="false">J11*L11*Assumptions!$B$18</f>
        <v>2993958.39569369</v>
      </c>
      <c r="N11" s="27" t="n">
        <f aca="false">MAX(0,I11-J11)*Assumptions!$B$19</f>
        <v>527341.226725325</v>
      </c>
      <c r="O11" s="26" t="n">
        <f aca="false">O10*(1-Assumptions!$B$23/12)+IF(A11&gt;=Assumptions!$B$22,J11*Assumptions!$B$21,0)</f>
        <v>0</v>
      </c>
      <c r="P11" s="27" t="n">
        <f aca="false">O11*L11*Assumptions!$B$20/12</f>
        <v>0</v>
      </c>
      <c r="Q11" s="26" t="n">
        <f aca="false">IF(A11&gt;=Assumptions!$B$61,(A11-Assumptions!$B$61+1)*Assumptions!$B$64,0)</f>
        <v>0</v>
      </c>
      <c r="R11" s="27" t="n">
        <f aca="false">Q11*Assumptions!$B$62*Assumptions!$B$63</f>
        <v>0</v>
      </c>
      <c r="S11" s="17" t="n">
        <f aca="false">M11+N11+P11+R11</f>
        <v>3521299.62241901</v>
      </c>
      <c r="T11" s="27" t="n">
        <f aca="false">M11*Assumptions!$B$37+R11*Assumptions!$B$38</f>
        <v>898187.518708107</v>
      </c>
      <c r="U11" s="27" t="n">
        <f aca="false">E11*Assumptions!$B$36</f>
        <v>705961.629997791</v>
      </c>
      <c r="V11" s="27" t="n">
        <f aca="false">T11+U11</f>
        <v>1604149.1487059</v>
      </c>
      <c r="W11" s="27" t="n">
        <f aca="false">S11-V11</f>
        <v>1917150.47371312</v>
      </c>
      <c r="X11" s="28" t="n">
        <f aca="false">IFERROR(W11/S11,0)</f>
        <v>0.544444006271781</v>
      </c>
      <c r="Y11" s="27" t="n">
        <f aca="false">INDEX(Assumptions!$B$68:$B$72,MATCH(B11,Assumptions!$A$68:$A$72,0))</f>
        <v>1200000</v>
      </c>
      <c r="Z11" s="27" t="n">
        <f aca="false">INDEX(Assumptions!$C$68:$C$72,MATCH(B11,Assumptions!$A$68:$A$72,0))</f>
        <v>150000</v>
      </c>
      <c r="AA11" s="27" t="n">
        <f aca="false">INDEX(Assumptions!$D$68:$D$72,MATCH(B11,Assumptions!$A$68:$A$72,0))</f>
        <v>300000</v>
      </c>
      <c r="AB11" s="27" t="n">
        <f aca="false">INDEX(Assumptions!$E$68:$E$72,MATCH(B11,Assumptions!$A$68:$A$72,0))</f>
        <v>250000</v>
      </c>
      <c r="AC11" s="27" t="n">
        <f aca="false">MAX(0,C11-C10)*Assumptions!$B$58</f>
        <v>0</v>
      </c>
      <c r="AD11" s="27" t="n">
        <f aca="false">SUM(Y11:AC11)</f>
        <v>1900000</v>
      </c>
      <c r="AE11" s="17" t="n">
        <f aca="false">W11-AD11</f>
        <v>17150.4737131163</v>
      </c>
      <c r="AF11" s="27" t="n">
        <f aca="false">AF10+AE11</f>
        <v>-8672138.13234243</v>
      </c>
    </row>
    <row r="12" customFormat="false" ht="15" hidden="false" customHeight="false" outlineLevel="0" collapsed="false">
      <c r="A12" s="25" t="n">
        <v>9</v>
      </c>
      <c r="B12" s="22" t="n">
        <f aca="false">ROUNDUP(A12/12,0)</f>
        <v>1</v>
      </c>
      <c r="C12" s="25" t="n">
        <f aca="false">COUNTIF(Assumptions!$B$51:$B$57,"&lt;="&amp;A12)</f>
        <v>1</v>
      </c>
      <c r="D12" s="26" t="n">
        <f aca="false">INDEX(Assumptions!$B$42:$B$46,MATCH(B12,Assumptions!$A$42:$A$46,0))</f>
        <v>1</v>
      </c>
      <c r="E12" s="26" t="n">
        <f aca="false">E11*(1-Assumptions!$B$33)+D12</f>
        <v>9.55978476372322</v>
      </c>
      <c r="F12" s="26" t="n">
        <f aca="false">MAX(0,E12-D12*(1-Assumptions!$B$31)-D11*(1-Assumptions!$B$32))</f>
        <v>8.70978476372322</v>
      </c>
      <c r="G12" s="26" t="n">
        <f aca="false">F12*Assumptions!$B$26</f>
        <v>52.2587085823393</v>
      </c>
      <c r="H12" s="26" t="n">
        <f aca="false">K11+G12</f>
        <v>111.0652453808</v>
      </c>
      <c r="I12" s="26" t="n">
        <f aca="false">MIN(F12*Assumptions!$B$27,H12*Assumptions!$B$28)</f>
        <v>333.195736142399</v>
      </c>
      <c r="J12" s="26" t="n">
        <f aca="false">I12*Assumptions!$B$29</f>
        <v>39.9834883370879</v>
      </c>
      <c r="K12" s="26" t="n">
        <f aca="false">MAX(0,H12-J12)*(1-Assumptions!$B$30)</f>
        <v>65.3952164802149</v>
      </c>
      <c r="L12" s="27" t="n">
        <f aca="false">Assumptions!$B$14*(1+Assumptions!$B$15)^((A12-1)/12)</f>
        <v>842448.984365692</v>
      </c>
      <c r="M12" s="27" t="n">
        <f aca="false">J12*L12*Assumptions!$B$18</f>
        <v>3368404.91409772</v>
      </c>
      <c r="N12" s="27" t="n">
        <f aca="false">MAX(0,I12-J12)*Assumptions!$B$19</f>
        <v>586424.495610623</v>
      </c>
      <c r="O12" s="26" t="n">
        <f aca="false">O11*(1-Assumptions!$B$23/12)+IF(A12&gt;=Assumptions!$B$22,J12*Assumptions!$B$21,0)</f>
        <v>0</v>
      </c>
      <c r="P12" s="27" t="n">
        <f aca="false">O12*L12*Assumptions!$B$20/12</f>
        <v>0</v>
      </c>
      <c r="Q12" s="26" t="n">
        <f aca="false">IF(A12&gt;=Assumptions!$B$61,(A12-Assumptions!$B$61+1)*Assumptions!$B$64,0)</f>
        <v>0</v>
      </c>
      <c r="R12" s="27" t="n">
        <f aca="false">Q12*Assumptions!$B$62*Assumptions!$B$63</f>
        <v>0</v>
      </c>
      <c r="S12" s="17" t="n">
        <f aca="false">M12+N12+P12+R12</f>
        <v>3954829.40970834</v>
      </c>
      <c r="T12" s="27" t="n">
        <f aca="false">M12*Assumptions!$B$37+R12*Assumptions!$B$38</f>
        <v>1010521.47422932</v>
      </c>
      <c r="U12" s="27" t="n">
        <f aca="false">E12*Assumptions!$B$36</f>
        <v>764782.781097858</v>
      </c>
      <c r="V12" s="27" t="n">
        <f aca="false">T12+U12</f>
        <v>1775304.25532717</v>
      </c>
      <c r="W12" s="27" t="n">
        <f aca="false">S12-V12</f>
        <v>2179525.15438117</v>
      </c>
      <c r="X12" s="28" t="n">
        <f aca="false">IFERROR(W12/S12,0)</f>
        <v>0.551104719973725</v>
      </c>
      <c r="Y12" s="27" t="n">
        <f aca="false">INDEX(Assumptions!$B$68:$B$72,MATCH(B12,Assumptions!$A$68:$A$72,0))</f>
        <v>1200000</v>
      </c>
      <c r="Z12" s="27" t="n">
        <f aca="false">INDEX(Assumptions!$C$68:$C$72,MATCH(B12,Assumptions!$A$68:$A$72,0))</f>
        <v>150000</v>
      </c>
      <c r="AA12" s="27" t="n">
        <f aca="false">INDEX(Assumptions!$D$68:$D$72,MATCH(B12,Assumptions!$A$68:$A$72,0))</f>
        <v>300000</v>
      </c>
      <c r="AB12" s="27" t="n">
        <f aca="false">INDEX(Assumptions!$E$68:$E$72,MATCH(B12,Assumptions!$A$68:$A$72,0))</f>
        <v>250000</v>
      </c>
      <c r="AC12" s="27" t="n">
        <f aca="false">MAX(0,C12-C11)*Assumptions!$B$58</f>
        <v>0</v>
      </c>
      <c r="AD12" s="27" t="n">
        <f aca="false">SUM(Y12:AC12)</f>
        <v>1900000</v>
      </c>
      <c r="AE12" s="17" t="n">
        <f aca="false">W12-AD12</f>
        <v>279525.15438117</v>
      </c>
      <c r="AF12" s="27" t="n">
        <f aca="false">AF11+AE12</f>
        <v>-8392612.97796126</v>
      </c>
    </row>
    <row r="13" customFormat="false" ht="15" hidden="false" customHeight="false" outlineLevel="0" collapsed="false">
      <c r="A13" s="25" t="n">
        <v>10</v>
      </c>
      <c r="B13" s="22" t="n">
        <f aca="false">ROUNDUP(A13/12,0)</f>
        <v>1</v>
      </c>
      <c r="C13" s="25" t="n">
        <f aca="false">COUNTIF(Assumptions!$B$51:$B$57,"&lt;="&amp;A13)</f>
        <v>1</v>
      </c>
      <c r="D13" s="26" t="n">
        <f aca="false">INDEX(Assumptions!$B$42:$B$46,MATCH(B13,Assumptions!$A$42:$A$46,0))</f>
        <v>1</v>
      </c>
      <c r="E13" s="26" t="n">
        <f aca="false">E12*(1-Assumptions!$B$33)+D13</f>
        <v>10.2729912208115</v>
      </c>
      <c r="F13" s="26" t="n">
        <f aca="false">MAX(0,E13-D13*(1-Assumptions!$B$31)-D12*(1-Assumptions!$B$32))</f>
        <v>9.42299122081152</v>
      </c>
      <c r="G13" s="26" t="n">
        <f aca="false">F13*Assumptions!$B$26</f>
        <v>56.5379473248691</v>
      </c>
      <c r="H13" s="26" t="n">
        <f aca="false">K12+G13</f>
        <v>121.933163805084</v>
      </c>
      <c r="I13" s="26" t="n">
        <f aca="false">MIN(F13*Assumptions!$B$27,H13*Assumptions!$B$28)</f>
        <v>365.799491415252</v>
      </c>
      <c r="J13" s="26" t="n">
        <f aca="false">I13*Assumptions!$B$29</f>
        <v>43.8959389698303</v>
      </c>
      <c r="K13" s="26" t="n">
        <f aca="false">MAX(0,H13-J13)*(1-Assumptions!$B$30)</f>
        <v>71.7942468484335</v>
      </c>
      <c r="L13" s="27" t="n">
        <f aca="false">Assumptions!$B$14*(1+Assumptions!$B$15)^((A13-1)/12)</f>
        <v>852318.204226751</v>
      </c>
      <c r="M13" s="27" t="n">
        <f aca="false">J13*L13*Assumptions!$B$18</f>
        <v>3741330.78756128</v>
      </c>
      <c r="N13" s="27" t="n">
        <f aca="false">MAX(0,I13-J13)*Assumptions!$B$19</f>
        <v>643807.104890844</v>
      </c>
      <c r="O13" s="26" t="n">
        <f aca="false">O12*(1-Assumptions!$B$23/12)+IF(A13&gt;=Assumptions!$B$22,J13*Assumptions!$B$21,0)</f>
        <v>0</v>
      </c>
      <c r="P13" s="27" t="n">
        <f aca="false">O13*L13*Assumptions!$B$20/12</f>
        <v>0</v>
      </c>
      <c r="Q13" s="26" t="n">
        <f aca="false">IF(A13&gt;=Assumptions!$B$61,(A13-Assumptions!$B$61+1)*Assumptions!$B$64,0)</f>
        <v>0</v>
      </c>
      <c r="R13" s="27" t="n">
        <f aca="false">Q13*Assumptions!$B$62*Assumptions!$B$63</f>
        <v>0</v>
      </c>
      <c r="S13" s="17" t="n">
        <f aca="false">M13+N13+P13+R13</f>
        <v>4385137.89245212</v>
      </c>
      <c r="T13" s="27" t="n">
        <f aca="false">M13*Assumptions!$B$37+R13*Assumptions!$B$38</f>
        <v>1122399.23626838</v>
      </c>
      <c r="U13" s="27" t="n">
        <f aca="false">E13*Assumptions!$B$36</f>
        <v>821839.297664922</v>
      </c>
      <c r="V13" s="27" t="n">
        <f aca="false">T13+U13</f>
        <v>1944238.53393331</v>
      </c>
      <c r="W13" s="27" t="n">
        <f aca="false">S13-V13</f>
        <v>2440899.35851882</v>
      </c>
      <c r="X13" s="28" t="n">
        <f aca="false">IFERROR(W13/S13,0)</f>
        <v>0.556630012187346</v>
      </c>
      <c r="Y13" s="27" t="n">
        <f aca="false">INDEX(Assumptions!$B$68:$B$72,MATCH(B13,Assumptions!$A$68:$A$72,0))</f>
        <v>1200000</v>
      </c>
      <c r="Z13" s="27" t="n">
        <f aca="false">INDEX(Assumptions!$C$68:$C$72,MATCH(B13,Assumptions!$A$68:$A$72,0))</f>
        <v>150000</v>
      </c>
      <c r="AA13" s="27" t="n">
        <f aca="false">INDEX(Assumptions!$D$68:$D$72,MATCH(B13,Assumptions!$A$68:$A$72,0))</f>
        <v>300000</v>
      </c>
      <c r="AB13" s="27" t="n">
        <f aca="false">INDEX(Assumptions!$E$68:$E$72,MATCH(B13,Assumptions!$A$68:$A$72,0))</f>
        <v>250000</v>
      </c>
      <c r="AC13" s="27" t="n">
        <f aca="false">MAX(0,C13-C12)*Assumptions!$B$58</f>
        <v>0</v>
      </c>
      <c r="AD13" s="27" t="n">
        <f aca="false">SUM(Y13:AC13)</f>
        <v>1900000</v>
      </c>
      <c r="AE13" s="17" t="n">
        <f aca="false">W13-AD13</f>
        <v>540899.358518818</v>
      </c>
      <c r="AF13" s="27" t="n">
        <f aca="false">AF12+AE13</f>
        <v>-7851713.61944244</v>
      </c>
    </row>
    <row r="14" customFormat="false" ht="15" hidden="false" customHeight="false" outlineLevel="0" collapsed="false">
      <c r="A14" s="25" t="n">
        <v>11</v>
      </c>
      <c r="B14" s="22" t="n">
        <f aca="false">ROUNDUP(A14/12,0)</f>
        <v>1</v>
      </c>
      <c r="C14" s="25" t="n">
        <f aca="false">COUNTIF(Assumptions!$B$51:$B$57,"&lt;="&amp;A14)</f>
        <v>1</v>
      </c>
      <c r="D14" s="26" t="n">
        <f aca="false">INDEX(Assumptions!$B$42:$B$46,MATCH(B14,Assumptions!$A$42:$A$46,0))</f>
        <v>1</v>
      </c>
      <c r="E14" s="26" t="n">
        <f aca="false">E13*(1-Assumptions!$B$33)+D14</f>
        <v>10.9648014841872</v>
      </c>
      <c r="F14" s="26" t="n">
        <f aca="false">MAX(0,E14-D14*(1-Assumptions!$B$31)-D13*(1-Assumptions!$B$32))</f>
        <v>10.1148014841872</v>
      </c>
      <c r="G14" s="26" t="n">
        <f aca="false">F14*Assumptions!$B$26</f>
        <v>60.6888089051231</v>
      </c>
      <c r="H14" s="26" t="n">
        <f aca="false">K13+G14</f>
        <v>132.483055753557</v>
      </c>
      <c r="I14" s="26" t="n">
        <f aca="false">MIN(F14*Assumptions!$B$27,H14*Assumptions!$B$28)</f>
        <v>397.44916726067</v>
      </c>
      <c r="J14" s="26" t="n">
        <f aca="false">I14*Assumptions!$B$29</f>
        <v>47.6939000712803</v>
      </c>
      <c r="K14" s="26" t="n">
        <f aca="false">MAX(0,H14-J14)*(1-Assumptions!$B$30)</f>
        <v>78.0060232276941</v>
      </c>
      <c r="L14" s="27" t="n">
        <f aca="false">Assumptions!$B$14*(1+Assumptions!$B$15)^((A14-1)/12)</f>
        <v>862303.041178546</v>
      </c>
      <c r="M14" s="27" t="n">
        <f aca="false">J14*L14*Assumptions!$B$18</f>
        <v>4112659.50771307</v>
      </c>
      <c r="N14" s="27" t="n">
        <f aca="false">MAX(0,I14-J14)*Assumptions!$B$19</f>
        <v>699510.534378779</v>
      </c>
      <c r="O14" s="26" t="n">
        <f aca="false">O13*(1-Assumptions!$B$23/12)+IF(A14&gt;=Assumptions!$B$22,J14*Assumptions!$B$21,0)</f>
        <v>0</v>
      </c>
      <c r="P14" s="27" t="n">
        <f aca="false">O14*L14*Assumptions!$B$20/12</f>
        <v>0</v>
      </c>
      <c r="Q14" s="26" t="n">
        <f aca="false">IF(A14&gt;=Assumptions!$B$61,(A14-Assumptions!$B$61+1)*Assumptions!$B$64,0)</f>
        <v>0</v>
      </c>
      <c r="R14" s="27" t="n">
        <f aca="false">Q14*Assumptions!$B$62*Assumptions!$B$63</f>
        <v>0</v>
      </c>
      <c r="S14" s="17" t="n">
        <f aca="false">M14+N14+P14+R14</f>
        <v>4812170.04209185</v>
      </c>
      <c r="T14" s="27" t="n">
        <f aca="false">M14*Assumptions!$B$37+R14*Assumptions!$B$38</f>
        <v>1233797.85231392</v>
      </c>
      <c r="U14" s="27" t="n">
        <f aca="false">E14*Assumptions!$B$36</f>
        <v>877184.118734974</v>
      </c>
      <c r="V14" s="27" t="n">
        <f aca="false">T14+U14</f>
        <v>2110981.9710489</v>
      </c>
      <c r="W14" s="27" t="n">
        <f aca="false">S14-V14</f>
        <v>2701188.07104296</v>
      </c>
      <c r="X14" s="28" t="n">
        <f aca="false">IFERROR(W14/S14,0)</f>
        <v>0.561324318844882</v>
      </c>
      <c r="Y14" s="27" t="n">
        <f aca="false">INDEX(Assumptions!$B$68:$B$72,MATCH(B14,Assumptions!$A$68:$A$72,0))</f>
        <v>1200000</v>
      </c>
      <c r="Z14" s="27" t="n">
        <f aca="false">INDEX(Assumptions!$C$68:$C$72,MATCH(B14,Assumptions!$A$68:$A$72,0))</f>
        <v>150000</v>
      </c>
      <c r="AA14" s="27" t="n">
        <f aca="false">INDEX(Assumptions!$D$68:$D$72,MATCH(B14,Assumptions!$A$68:$A$72,0))</f>
        <v>300000</v>
      </c>
      <c r="AB14" s="27" t="n">
        <f aca="false">INDEX(Assumptions!$E$68:$E$72,MATCH(B14,Assumptions!$A$68:$A$72,0))</f>
        <v>250000</v>
      </c>
      <c r="AC14" s="27" t="n">
        <f aca="false">MAX(0,C14-C13)*Assumptions!$B$58</f>
        <v>0</v>
      </c>
      <c r="AD14" s="27" t="n">
        <f aca="false">SUM(Y14:AC14)</f>
        <v>1900000</v>
      </c>
      <c r="AE14" s="17" t="n">
        <f aca="false">W14-AD14</f>
        <v>801188.071042955</v>
      </c>
      <c r="AF14" s="27" t="n">
        <f aca="false">AF13+AE14</f>
        <v>-7050525.54839949</v>
      </c>
    </row>
    <row r="15" customFormat="false" ht="15" hidden="false" customHeight="false" outlineLevel="0" collapsed="false">
      <c r="A15" s="29" t="n">
        <v>12</v>
      </c>
      <c r="B15" s="30" t="n">
        <f aca="false">ROUNDUP(A15/12,0)</f>
        <v>1</v>
      </c>
      <c r="C15" s="29" t="n">
        <f aca="false">COUNTIF(Assumptions!$B$51:$B$57,"&lt;="&amp;A15)</f>
        <v>1</v>
      </c>
      <c r="D15" s="31" t="n">
        <f aca="false">INDEX(Assumptions!$B$42:$B$46,MATCH(B15,Assumptions!$A$42:$A$46,0))</f>
        <v>1</v>
      </c>
      <c r="E15" s="31" t="n">
        <f aca="false">E14*(1-Assumptions!$B$33)+D15</f>
        <v>11.6358574396616</v>
      </c>
      <c r="F15" s="31" t="n">
        <f aca="false">MAX(0,E15-D15*(1-Assumptions!$B$31)-D14*(1-Assumptions!$B$32))</f>
        <v>10.7858574396616</v>
      </c>
      <c r="G15" s="31" t="n">
        <f aca="false">F15*Assumptions!$B$26</f>
        <v>64.7151446379694</v>
      </c>
      <c r="H15" s="31" t="n">
        <f aca="false">K14+G15</f>
        <v>142.721167865663</v>
      </c>
      <c r="I15" s="31" t="n">
        <f aca="false">MIN(F15*Assumptions!$B$27,H15*Assumptions!$B$28)</f>
        <v>428.16350359699</v>
      </c>
      <c r="J15" s="31" t="n">
        <f aca="false">I15*Assumptions!$B$29</f>
        <v>51.3796204316388</v>
      </c>
      <c r="K15" s="31" t="n">
        <f aca="false">MAX(0,H15-J15)*(1-Assumptions!$B$30)</f>
        <v>84.0342236393027</v>
      </c>
      <c r="L15" s="32" t="n">
        <f aca="false">Assumptions!$B$14*(1+Assumptions!$B$15)^((A15-1)/12)</f>
        <v>872404.849665689</v>
      </c>
      <c r="M15" s="32" t="n">
        <f aca="false">J15*L15*Assumptions!$B$18</f>
        <v>4482383.00385441</v>
      </c>
      <c r="N15" s="32" t="n">
        <f aca="false">MAX(0,I15-J15)*Assumptions!$B$19</f>
        <v>753567.766330703</v>
      </c>
      <c r="O15" s="31" t="n">
        <f aca="false">O14*(1-Assumptions!$B$23/12)+IF(A15&gt;=Assumptions!$B$22,J15*Assumptions!$B$21,0)</f>
        <v>0</v>
      </c>
      <c r="P15" s="32" t="n">
        <f aca="false">O15*L15*Assumptions!$B$20/12</f>
        <v>0</v>
      </c>
      <c r="Q15" s="31" t="n">
        <f aca="false">IF(A15&gt;=Assumptions!$B$61,(A15-Assumptions!$B$61+1)*Assumptions!$B$64,0)</f>
        <v>0</v>
      </c>
      <c r="R15" s="32" t="n">
        <f aca="false">Q15*Assumptions!$B$62*Assumptions!$B$63</f>
        <v>0</v>
      </c>
      <c r="S15" s="33" t="n">
        <f aca="false">M15+N15+P15+R15</f>
        <v>5235950.77018511</v>
      </c>
      <c r="T15" s="32" t="n">
        <f aca="false">M15*Assumptions!$B$37+R15*Assumptions!$B$38</f>
        <v>1344714.90115632</v>
      </c>
      <c r="U15" s="32" t="n">
        <f aca="false">E15*Assumptions!$B$36</f>
        <v>930868.595172925</v>
      </c>
      <c r="V15" s="32" t="n">
        <f aca="false">T15+U15</f>
        <v>2275583.49632925</v>
      </c>
      <c r="W15" s="32" t="n">
        <f aca="false">S15-V15</f>
        <v>2960367.27385586</v>
      </c>
      <c r="X15" s="34" t="n">
        <f aca="false">IFERROR(W15/S15,0)</f>
        <v>0.565392495802859</v>
      </c>
      <c r="Y15" s="32" t="n">
        <f aca="false">INDEX(Assumptions!$B$68:$B$72,MATCH(B15,Assumptions!$A$68:$A$72,0))</f>
        <v>1200000</v>
      </c>
      <c r="Z15" s="32" t="n">
        <f aca="false">INDEX(Assumptions!$C$68:$C$72,MATCH(B15,Assumptions!$A$68:$A$72,0))</f>
        <v>150000</v>
      </c>
      <c r="AA15" s="32" t="n">
        <f aca="false">INDEX(Assumptions!$D$68:$D$72,MATCH(B15,Assumptions!$A$68:$A$72,0))</f>
        <v>300000</v>
      </c>
      <c r="AB15" s="32" t="n">
        <f aca="false">INDEX(Assumptions!$E$68:$E$72,MATCH(B15,Assumptions!$A$68:$A$72,0))</f>
        <v>250000</v>
      </c>
      <c r="AC15" s="32" t="n">
        <f aca="false">MAX(0,C15-C14)*Assumptions!$B$58</f>
        <v>0</v>
      </c>
      <c r="AD15" s="32" t="n">
        <f aca="false">SUM(Y15:AC15)</f>
        <v>1900000</v>
      </c>
      <c r="AE15" s="33" t="n">
        <f aca="false">W15-AD15</f>
        <v>1060367.27385586</v>
      </c>
      <c r="AF15" s="32" t="n">
        <f aca="false">AF14+AE15</f>
        <v>-5990158.27454363</v>
      </c>
    </row>
    <row r="16" customFormat="false" ht="15" hidden="false" customHeight="false" outlineLevel="0" collapsed="false">
      <c r="A16" s="25" t="n">
        <v>13</v>
      </c>
      <c r="B16" s="22" t="n">
        <f aca="false">ROUNDUP(A16/12,0)</f>
        <v>2</v>
      </c>
      <c r="C16" s="25" t="n">
        <f aca="false">COUNTIF(Assumptions!$B$51:$B$57,"&lt;="&amp;A16)</f>
        <v>2</v>
      </c>
      <c r="D16" s="26" t="n">
        <f aca="false">INDEX(Assumptions!$B$42:$B$46,MATCH(B16,Assumptions!$A$42:$A$46,0))</f>
        <v>2</v>
      </c>
      <c r="E16" s="26" t="n">
        <f aca="false">E15*(1-Assumptions!$B$33)+D16</f>
        <v>13.2867817164717</v>
      </c>
      <c r="F16" s="26" t="n">
        <f aca="false">MAX(0,E16-D16*(1-Assumptions!$B$31)-D15*(1-Assumptions!$B$32))</f>
        <v>11.8367817164717</v>
      </c>
      <c r="G16" s="26" t="n">
        <f aca="false">F16*Assumptions!$B$26</f>
        <v>71.0206902988303</v>
      </c>
      <c r="H16" s="26" t="n">
        <f aca="false">K15+G16</f>
        <v>155.054913938133</v>
      </c>
      <c r="I16" s="26" t="n">
        <f aca="false">MIN(F16*Assumptions!$B$27,H16*Assumptions!$B$28)</f>
        <v>465.164741814399</v>
      </c>
      <c r="J16" s="26" t="n">
        <f aca="false">I16*Assumptions!$B$29</f>
        <v>55.8197690177279</v>
      </c>
      <c r="K16" s="26" t="n">
        <f aca="false">MAX(0,H16-J16)*(1-Assumptions!$B$30)</f>
        <v>91.2963333267727</v>
      </c>
      <c r="L16" s="27" t="n">
        <f aca="false">Assumptions!$B$14*(1+Assumptions!$B$15)^((A16-1)/12)</f>
        <v>882625</v>
      </c>
      <c r="M16" s="27" t="n">
        <f aca="false">J16*L16*Assumptions!$B$18</f>
        <v>4926792.3629272</v>
      </c>
      <c r="N16" s="27" t="n">
        <f aca="false">MAX(0,I16-J16)*Assumptions!$B$19</f>
        <v>818689.945593342</v>
      </c>
      <c r="O16" s="26" t="n">
        <f aca="false">O15*(1-Assumptions!$B$23/12)+IF(A16&gt;=Assumptions!$B$22,J16*Assumptions!$B$21,0)</f>
        <v>13.954942254432</v>
      </c>
      <c r="P16" s="27" t="n">
        <f aca="false">O16*L16*Assumptions!$B$20/12</f>
        <v>76981.1306707376</v>
      </c>
      <c r="Q16" s="26" t="n">
        <f aca="false">IF(A16&gt;=Assumptions!$B$61,(A16-Assumptions!$B$61+1)*Assumptions!$B$64,0)</f>
        <v>0</v>
      </c>
      <c r="R16" s="27" t="n">
        <f aca="false">Q16*Assumptions!$B$62*Assumptions!$B$63</f>
        <v>0</v>
      </c>
      <c r="S16" s="17" t="n">
        <f aca="false">M16+N16+P16+R16</f>
        <v>5822463.43919128</v>
      </c>
      <c r="T16" s="27" t="n">
        <f aca="false">M16*Assumptions!$B$37+R16*Assumptions!$B$38</f>
        <v>1478037.70887816</v>
      </c>
      <c r="U16" s="27" t="n">
        <f aca="false">E16*Assumptions!$B$36</f>
        <v>1062942.53731774</v>
      </c>
      <c r="V16" s="27" t="n">
        <f aca="false">T16+U16</f>
        <v>2540980.2461959</v>
      </c>
      <c r="W16" s="27" t="n">
        <f aca="false">S16-V16</f>
        <v>3281483.19299539</v>
      </c>
      <c r="X16" s="28" t="n">
        <f aca="false">IFERROR(W16/S16,0)</f>
        <v>0.563590175750622</v>
      </c>
      <c r="Y16" s="27" t="n">
        <f aca="false">INDEX(Assumptions!$B$68:$B$72,MATCH(B16,Assumptions!$A$68:$A$72,0))</f>
        <v>1500000</v>
      </c>
      <c r="Z16" s="27" t="n">
        <f aca="false">INDEX(Assumptions!$C$68:$C$72,MATCH(B16,Assumptions!$A$68:$A$72,0))</f>
        <v>250000</v>
      </c>
      <c r="AA16" s="27" t="n">
        <f aca="false">INDEX(Assumptions!$D$68:$D$72,MATCH(B16,Assumptions!$A$68:$A$72,0))</f>
        <v>700000</v>
      </c>
      <c r="AB16" s="27" t="n">
        <f aca="false">INDEX(Assumptions!$E$68:$E$72,MATCH(B16,Assumptions!$A$68:$A$72,0))</f>
        <v>400000</v>
      </c>
      <c r="AC16" s="27" t="n">
        <f aca="false">MAX(0,C16-C15)*Assumptions!$B$58</f>
        <v>1500000</v>
      </c>
      <c r="AD16" s="27" t="n">
        <f aca="false">SUM(Y16:AC16)</f>
        <v>4350000</v>
      </c>
      <c r="AE16" s="17" t="n">
        <f aca="false">W16-AD16</f>
        <v>-1068516.80700461</v>
      </c>
      <c r="AF16" s="27" t="n">
        <f aca="false">AF15+AE16</f>
        <v>-7058675.08154824</v>
      </c>
    </row>
    <row r="17" customFormat="false" ht="15" hidden="false" customHeight="false" outlineLevel="0" collapsed="false">
      <c r="A17" s="25" t="n">
        <v>14</v>
      </c>
      <c r="B17" s="22" t="n">
        <f aca="false">ROUNDUP(A17/12,0)</f>
        <v>2</v>
      </c>
      <c r="C17" s="25" t="n">
        <f aca="false">COUNTIF(Assumptions!$B$51:$B$57,"&lt;="&amp;A17)</f>
        <v>2</v>
      </c>
      <c r="D17" s="26" t="n">
        <f aca="false">INDEX(Assumptions!$B$42:$B$46,MATCH(B17,Assumptions!$A$42:$A$46,0))</f>
        <v>2</v>
      </c>
      <c r="E17" s="26" t="n">
        <f aca="false">E16*(1-Assumptions!$B$33)+D17</f>
        <v>14.8881782649776</v>
      </c>
      <c r="F17" s="26" t="n">
        <f aca="false">MAX(0,E17-D17*(1-Assumptions!$B$31)-D16*(1-Assumptions!$B$32))</f>
        <v>13.1881782649776</v>
      </c>
      <c r="G17" s="26" t="n">
        <f aca="false">F17*Assumptions!$B$26</f>
        <v>79.1290695898654</v>
      </c>
      <c r="H17" s="26" t="n">
        <f aca="false">K16+G17</f>
        <v>170.425402916638</v>
      </c>
      <c r="I17" s="26" t="n">
        <f aca="false">MIN(F17*Assumptions!$B$27,H17*Assumptions!$B$28)</f>
        <v>511.276208749914</v>
      </c>
      <c r="J17" s="26" t="n">
        <f aca="false">I17*Assumptions!$B$29</f>
        <v>61.3531450499897</v>
      </c>
      <c r="K17" s="26" t="n">
        <f aca="false">MAX(0,H17-J17)*(1-Assumptions!$B$30)</f>
        <v>100.346477237316</v>
      </c>
      <c r="L17" s="27" t="n">
        <f aca="false">Assumptions!$B$14*(1+Assumptions!$B$15)^((A17-1)/12)</f>
        <v>892964.878546385</v>
      </c>
      <c r="M17" s="27" t="n">
        <f aca="false">J17*L17*Assumptions!$B$18</f>
        <v>5478620.37180028</v>
      </c>
      <c r="N17" s="27" t="n">
        <f aca="false">MAX(0,I17-J17)*Assumptions!$B$19</f>
        <v>899846.127399849</v>
      </c>
      <c r="O17" s="26" t="n">
        <f aca="false">O16*(1-Assumptions!$B$23/12)+IF(A17&gt;=Assumptions!$B$22,J17*Assumptions!$B$21,0)</f>
        <v>29.1769373314758</v>
      </c>
      <c r="P17" s="27" t="n">
        <f aca="false">O17*L17*Assumptions!$B$20/12</f>
        <v>162837.37687848</v>
      </c>
      <c r="Q17" s="26" t="n">
        <f aca="false">IF(A17&gt;=Assumptions!$B$61,(A17-Assumptions!$B$61+1)*Assumptions!$B$64,0)</f>
        <v>0</v>
      </c>
      <c r="R17" s="27" t="n">
        <f aca="false">Q17*Assumptions!$B$62*Assumptions!$B$63</f>
        <v>0</v>
      </c>
      <c r="S17" s="17" t="n">
        <f aca="false">M17+N17+P17+R17</f>
        <v>6541303.87607861</v>
      </c>
      <c r="T17" s="27" t="n">
        <f aca="false">M17*Assumptions!$B$37+R17*Assumptions!$B$38</f>
        <v>1643586.11154008</v>
      </c>
      <c r="U17" s="27" t="n">
        <f aca="false">E17*Assumptions!$B$36</f>
        <v>1191054.26119821</v>
      </c>
      <c r="V17" s="27" t="n">
        <f aca="false">T17+U17</f>
        <v>2834640.37273829</v>
      </c>
      <c r="W17" s="27" t="n">
        <f aca="false">S17-V17</f>
        <v>3706663.50334032</v>
      </c>
      <c r="X17" s="28" t="n">
        <f aca="false">IFERROR(W17/S17,0)</f>
        <v>0.566655146062775</v>
      </c>
      <c r="Y17" s="27" t="n">
        <f aca="false">INDEX(Assumptions!$B$68:$B$72,MATCH(B17,Assumptions!$A$68:$A$72,0))</f>
        <v>1500000</v>
      </c>
      <c r="Z17" s="27" t="n">
        <f aca="false">INDEX(Assumptions!$C$68:$C$72,MATCH(B17,Assumptions!$A$68:$A$72,0))</f>
        <v>250000</v>
      </c>
      <c r="AA17" s="27" t="n">
        <f aca="false">INDEX(Assumptions!$D$68:$D$72,MATCH(B17,Assumptions!$A$68:$A$72,0))</f>
        <v>700000</v>
      </c>
      <c r="AB17" s="27" t="n">
        <f aca="false">INDEX(Assumptions!$E$68:$E$72,MATCH(B17,Assumptions!$A$68:$A$72,0))</f>
        <v>400000</v>
      </c>
      <c r="AC17" s="27" t="n">
        <f aca="false">MAX(0,C17-C16)*Assumptions!$B$58</f>
        <v>0</v>
      </c>
      <c r="AD17" s="27" t="n">
        <f aca="false">SUM(Y17:AC17)</f>
        <v>2850000</v>
      </c>
      <c r="AE17" s="17" t="n">
        <f aca="false">W17-AD17</f>
        <v>856663.50334032</v>
      </c>
      <c r="AF17" s="27" t="n">
        <f aca="false">AF16+AE17</f>
        <v>-6202011.57820792</v>
      </c>
    </row>
    <row r="18" customFormat="false" ht="15" hidden="false" customHeight="false" outlineLevel="0" collapsed="false">
      <c r="A18" s="25" t="n">
        <v>15</v>
      </c>
      <c r="B18" s="22" t="n">
        <f aca="false">ROUNDUP(A18/12,0)</f>
        <v>2</v>
      </c>
      <c r="C18" s="25" t="n">
        <f aca="false">COUNTIF(Assumptions!$B$51:$B$57,"&lt;="&amp;A18)</f>
        <v>2</v>
      </c>
      <c r="D18" s="26" t="n">
        <f aca="false">INDEX(Assumptions!$B$42:$B$46,MATCH(B18,Assumptions!$A$42:$A$46,0))</f>
        <v>2</v>
      </c>
      <c r="E18" s="26" t="n">
        <f aca="false">E17*(1-Assumptions!$B$33)+D18</f>
        <v>16.4415329170282</v>
      </c>
      <c r="F18" s="26" t="n">
        <f aca="false">MAX(0,E18-D18*(1-Assumptions!$B$31)-D17*(1-Assumptions!$B$32))</f>
        <v>14.7415329170282</v>
      </c>
      <c r="G18" s="26" t="n">
        <f aca="false">F18*Assumptions!$B$26</f>
        <v>88.4491975021694</v>
      </c>
      <c r="H18" s="26" t="n">
        <f aca="false">K17+G18</f>
        <v>188.795674739486</v>
      </c>
      <c r="I18" s="26" t="n">
        <f aca="false">MIN(F18*Assumptions!$B$27,H18*Assumptions!$B$28)</f>
        <v>566.387024218458</v>
      </c>
      <c r="J18" s="26" t="n">
        <f aca="false">I18*Assumptions!$B$29</f>
        <v>67.9664429062149</v>
      </c>
      <c r="K18" s="26" t="n">
        <f aca="false">MAX(0,H18-J18)*(1-Assumptions!$B$30)</f>
        <v>111.162893286609</v>
      </c>
      <c r="L18" s="27" t="n">
        <f aca="false">Assumptions!$B$14*(1+Assumptions!$B$15)^((A18-1)/12)</f>
        <v>903425.887910903</v>
      </c>
      <c r="M18" s="27" t="n">
        <f aca="false">J18*L18*Assumptions!$B$18</f>
        <v>6140264.40306929</v>
      </c>
      <c r="N18" s="27" t="n">
        <f aca="false">MAX(0,I18-J18)*Assumptions!$B$19</f>
        <v>996841.162624485</v>
      </c>
      <c r="O18" s="26" t="n">
        <f aca="false">O17*(1-Assumptions!$B$23/12)+IF(A18&gt;=Assumptions!$B$22,J18*Assumptions!$B$21,0)</f>
        <v>45.9254069136006</v>
      </c>
      <c r="P18" s="27" t="n">
        <f aca="false">O18*L18*Assumptions!$B$20/12</f>
        <v>259313.759491182</v>
      </c>
      <c r="Q18" s="26" t="n">
        <f aca="false">IF(A18&gt;=Assumptions!$B$61,(A18-Assumptions!$B$61+1)*Assumptions!$B$64,0)</f>
        <v>0</v>
      </c>
      <c r="R18" s="27" t="n">
        <f aca="false">Q18*Assumptions!$B$62*Assumptions!$B$63</f>
        <v>0</v>
      </c>
      <c r="S18" s="17" t="n">
        <f aca="false">M18+N18+P18+R18</f>
        <v>7396419.32518496</v>
      </c>
      <c r="T18" s="27" t="n">
        <f aca="false">M18*Assumptions!$B$37+R18*Assumptions!$B$38</f>
        <v>1842079.32092079</v>
      </c>
      <c r="U18" s="27" t="n">
        <f aca="false">E18*Assumptions!$B$36</f>
        <v>1315322.63336226</v>
      </c>
      <c r="V18" s="27" t="n">
        <f aca="false">T18+U18</f>
        <v>3157401.95428305</v>
      </c>
      <c r="W18" s="27" t="n">
        <f aca="false">S18-V18</f>
        <v>4239017.37090191</v>
      </c>
      <c r="X18" s="28" t="n">
        <f aca="false">IFERROR(W18/S18,0)</f>
        <v>0.5731175024742</v>
      </c>
      <c r="Y18" s="27" t="n">
        <f aca="false">INDEX(Assumptions!$B$68:$B$72,MATCH(B18,Assumptions!$A$68:$A$72,0))</f>
        <v>1500000</v>
      </c>
      <c r="Z18" s="27" t="n">
        <f aca="false">INDEX(Assumptions!$C$68:$C$72,MATCH(B18,Assumptions!$A$68:$A$72,0))</f>
        <v>250000</v>
      </c>
      <c r="AA18" s="27" t="n">
        <f aca="false">INDEX(Assumptions!$D$68:$D$72,MATCH(B18,Assumptions!$A$68:$A$72,0))</f>
        <v>700000</v>
      </c>
      <c r="AB18" s="27" t="n">
        <f aca="false">INDEX(Assumptions!$E$68:$E$72,MATCH(B18,Assumptions!$A$68:$A$72,0))</f>
        <v>400000</v>
      </c>
      <c r="AC18" s="27" t="n">
        <f aca="false">MAX(0,C18-C17)*Assumptions!$B$58</f>
        <v>0</v>
      </c>
      <c r="AD18" s="27" t="n">
        <f aca="false">SUM(Y18:AC18)</f>
        <v>2850000</v>
      </c>
      <c r="AE18" s="17" t="n">
        <f aca="false">W18-AD18</f>
        <v>1389017.37090191</v>
      </c>
      <c r="AF18" s="27" t="n">
        <f aca="false">AF17+AE18</f>
        <v>-4812994.20730601</v>
      </c>
    </row>
    <row r="19" customFormat="false" ht="15" hidden="false" customHeight="false" outlineLevel="0" collapsed="false">
      <c r="A19" s="25" t="n">
        <v>16</v>
      </c>
      <c r="B19" s="22" t="n">
        <f aca="false">ROUNDUP(A19/12,0)</f>
        <v>2</v>
      </c>
      <c r="C19" s="25" t="n">
        <f aca="false">COUNTIF(Assumptions!$B$51:$B$57,"&lt;="&amp;A19)</f>
        <v>2</v>
      </c>
      <c r="D19" s="26" t="n">
        <f aca="false">INDEX(Assumptions!$B$42:$B$46,MATCH(B19,Assumptions!$A$42:$A$46,0))</f>
        <v>2</v>
      </c>
      <c r="E19" s="26" t="n">
        <f aca="false">E18*(1-Assumptions!$B$33)+D19</f>
        <v>17.9482869295174</v>
      </c>
      <c r="F19" s="26" t="n">
        <f aca="false">MAX(0,E19-D19*(1-Assumptions!$B$31)-D18*(1-Assumptions!$B$32))</f>
        <v>16.2482869295174</v>
      </c>
      <c r="G19" s="26" t="n">
        <f aca="false">F19*Assumptions!$B$26</f>
        <v>97.4897215771043</v>
      </c>
      <c r="H19" s="26" t="n">
        <f aca="false">K18+G19</f>
        <v>208.652614863714</v>
      </c>
      <c r="I19" s="26" t="n">
        <f aca="false">MIN(F19*Assumptions!$B$27,H19*Assumptions!$B$28)</f>
        <v>625.957844591141</v>
      </c>
      <c r="J19" s="26" t="n">
        <f aca="false">I19*Assumptions!$B$29</f>
        <v>75.1149413509369</v>
      </c>
      <c r="K19" s="26" t="n">
        <f aca="false">MAX(0,H19-J19)*(1-Assumptions!$B$30)</f>
        <v>122.854659631755</v>
      </c>
      <c r="L19" s="27" t="n">
        <f aca="false">Assumptions!$B$14*(1+Assumptions!$B$15)^((A19-1)/12)</f>
        <v>914009.447131024</v>
      </c>
      <c r="M19" s="27" t="n">
        <f aca="false">J19*L19*Assumptions!$B$18</f>
        <v>6865576.60154491</v>
      </c>
      <c r="N19" s="27" t="n">
        <f aca="false">MAX(0,I19-J19)*Assumptions!$B$19</f>
        <v>1101685.80648041</v>
      </c>
      <c r="O19" s="26" t="n">
        <f aca="false">O18*(1-Assumptions!$B$23/12)+IF(A19&gt;=Assumptions!$B$22,J19*Assumptions!$B$21,0)</f>
        <v>64.3214305270548</v>
      </c>
      <c r="P19" s="27" t="n">
        <f aca="false">O19*L19*Assumptions!$B$20/12</f>
        <v>367439.969716937</v>
      </c>
      <c r="Q19" s="26" t="n">
        <f aca="false">IF(A19&gt;=Assumptions!$B$61,(A19-Assumptions!$B$61+1)*Assumptions!$B$64,0)</f>
        <v>0</v>
      </c>
      <c r="R19" s="27" t="n">
        <f aca="false">Q19*Assumptions!$B$62*Assumptions!$B$63</f>
        <v>0</v>
      </c>
      <c r="S19" s="17" t="n">
        <f aca="false">M19+N19+P19+R19</f>
        <v>8334702.37774226</v>
      </c>
      <c r="T19" s="27" t="n">
        <f aca="false">M19*Assumptions!$B$37+R19*Assumptions!$B$38</f>
        <v>2059672.98046347</v>
      </c>
      <c r="U19" s="27" t="n">
        <f aca="false">E19*Assumptions!$B$36</f>
        <v>1435862.95436139</v>
      </c>
      <c r="V19" s="27" t="n">
        <f aca="false">T19+U19</f>
        <v>3495535.93482487</v>
      </c>
      <c r="W19" s="27" t="n">
        <f aca="false">S19-V19</f>
        <v>4839166.44291739</v>
      </c>
      <c r="X19" s="28" t="n">
        <f aca="false">IFERROR(W19/S19,0)</f>
        <v>0.580604588334233</v>
      </c>
      <c r="Y19" s="27" t="n">
        <f aca="false">INDEX(Assumptions!$B$68:$B$72,MATCH(B19,Assumptions!$A$68:$A$72,0))</f>
        <v>1500000</v>
      </c>
      <c r="Z19" s="27" t="n">
        <f aca="false">INDEX(Assumptions!$C$68:$C$72,MATCH(B19,Assumptions!$A$68:$A$72,0))</f>
        <v>250000</v>
      </c>
      <c r="AA19" s="27" t="n">
        <f aca="false">INDEX(Assumptions!$D$68:$D$72,MATCH(B19,Assumptions!$A$68:$A$72,0))</f>
        <v>700000</v>
      </c>
      <c r="AB19" s="27" t="n">
        <f aca="false">INDEX(Assumptions!$E$68:$E$72,MATCH(B19,Assumptions!$A$68:$A$72,0))</f>
        <v>400000</v>
      </c>
      <c r="AC19" s="27" t="n">
        <f aca="false">MAX(0,C19-C18)*Assumptions!$B$58</f>
        <v>0</v>
      </c>
      <c r="AD19" s="27" t="n">
        <f aca="false">SUM(Y19:AC19)</f>
        <v>2850000</v>
      </c>
      <c r="AE19" s="17" t="n">
        <f aca="false">W19-AD19</f>
        <v>1989166.44291739</v>
      </c>
      <c r="AF19" s="27" t="n">
        <f aca="false">AF18+AE19</f>
        <v>-2823827.76438861</v>
      </c>
    </row>
    <row r="20" customFormat="false" ht="15" hidden="false" customHeight="false" outlineLevel="0" collapsed="false">
      <c r="A20" s="25" t="n">
        <v>17</v>
      </c>
      <c r="B20" s="22" t="n">
        <f aca="false">ROUNDUP(A20/12,0)</f>
        <v>2</v>
      </c>
      <c r="C20" s="25" t="n">
        <f aca="false">COUNTIF(Assumptions!$B$51:$B$57,"&lt;="&amp;A20)</f>
        <v>2</v>
      </c>
      <c r="D20" s="26" t="n">
        <f aca="false">INDEX(Assumptions!$B$42:$B$46,MATCH(B20,Assumptions!$A$42:$A$46,0))</f>
        <v>2</v>
      </c>
      <c r="E20" s="26" t="n">
        <f aca="false">E19*(1-Assumptions!$B$33)+D20</f>
        <v>19.4098383216319</v>
      </c>
      <c r="F20" s="26" t="n">
        <f aca="false">MAX(0,E20-D20*(1-Assumptions!$B$31)-D19*(1-Assumptions!$B$32))</f>
        <v>17.7098383216319</v>
      </c>
      <c r="G20" s="26" t="n">
        <f aca="false">F20*Assumptions!$B$26</f>
        <v>106.259029929791</v>
      </c>
      <c r="H20" s="26" t="n">
        <f aca="false">K19+G20</f>
        <v>229.113689561546</v>
      </c>
      <c r="I20" s="26" t="n">
        <f aca="false">MIN(F20*Assumptions!$B$27,H20*Assumptions!$B$28)</f>
        <v>687.341068684637</v>
      </c>
      <c r="J20" s="26" t="n">
        <f aca="false">I20*Assumptions!$B$29</f>
        <v>82.4809282421565</v>
      </c>
      <c r="K20" s="26" t="n">
        <f aca="false">MAX(0,H20-J20)*(1-Assumptions!$B$30)</f>
        <v>134.902140413838</v>
      </c>
      <c r="L20" s="27" t="n">
        <f aca="false">Assumptions!$B$14*(1+Assumptions!$B$15)^((A20-1)/12)</f>
        <v>924716.991868125</v>
      </c>
      <c r="M20" s="27" t="n">
        <f aca="false">J20*L20*Assumptions!$B$18</f>
        <v>7627151.58505776</v>
      </c>
      <c r="N20" s="27" t="n">
        <f aca="false">MAX(0,I20-J20)*Assumptions!$B$19</f>
        <v>1209720.28088496</v>
      </c>
      <c r="O20" s="26" t="n">
        <f aca="false">O19*(1-Assumptions!$B$23/12)+IF(A20&gt;=Assumptions!$B$22,J20*Assumptions!$B$21,0)</f>
        <v>84.4056506665351</v>
      </c>
      <c r="P20" s="27" t="n">
        <f aca="false">O20*L20*Assumptions!$B$20/12</f>
        <v>487820.871131439</v>
      </c>
      <c r="Q20" s="26" t="n">
        <f aca="false">IF(A20&gt;=Assumptions!$B$61,(A20-Assumptions!$B$61+1)*Assumptions!$B$64,0)</f>
        <v>0</v>
      </c>
      <c r="R20" s="27" t="n">
        <f aca="false">Q20*Assumptions!$B$62*Assumptions!$B$63</f>
        <v>0</v>
      </c>
      <c r="S20" s="17" t="n">
        <f aca="false">M20+N20+P20+R20</f>
        <v>9324692.73707416</v>
      </c>
      <c r="T20" s="27" t="n">
        <f aca="false">M20*Assumptions!$B$37+R20*Assumptions!$B$38</f>
        <v>2288145.47551733</v>
      </c>
      <c r="U20" s="27" t="n">
        <f aca="false">E20*Assumptions!$B$36</f>
        <v>1552787.06573055</v>
      </c>
      <c r="V20" s="27" t="n">
        <f aca="false">T20+U20</f>
        <v>3840932.54124788</v>
      </c>
      <c r="W20" s="27" t="n">
        <f aca="false">S20-V20</f>
        <v>5483760.19582629</v>
      </c>
      <c r="X20" s="28" t="n">
        <f aca="false">IFERROR(W20/S20,0)</f>
        <v>0.588090176314693</v>
      </c>
      <c r="Y20" s="27" t="n">
        <f aca="false">INDEX(Assumptions!$B$68:$B$72,MATCH(B20,Assumptions!$A$68:$A$72,0))</f>
        <v>1500000</v>
      </c>
      <c r="Z20" s="27" t="n">
        <f aca="false">INDEX(Assumptions!$C$68:$C$72,MATCH(B20,Assumptions!$A$68:$A$72,0))</f>
        <v>250000</v>
      </c>
      <c r="AA20" s="27" t="n">
        <f aca="false">INDEX(Assumptions!$D$68:$D$72,MATCH(B20,Assumptions!$A$68:$A$72,0))</f>
        <v>700000</v>
      </c>
      <c r="AB20" s="27" t="n">
        <f aca="false">INDEX(Assumptions!$E$68:$E$72,MATCH(B20,Assumptions!$A$68:$A$72,0))</f>
        <v>400000</v>
      </c>
      <c r="AC20" s="27" t="n">
        <f aca="false">MAX(0,C20-C19)*Assumptions!$B$58</f>
        <v>0</v>
      </c>
      <c r="AD20" s="27" t="n">
        <f aca="false">SUM(Y20:AC20)</f>
        <v>2850000</v>
      </c>
      <c r="AE20" s="17" t="n">
        <f aca="false">W20-AD20</f>
        <v>2633760.19582628</v>
      </c>
      <c r="AF20" s="27" t="n">
        <f aca="false">AF19+AE20</f>
        <v>-190067.568562329</v>
      </c>
    </row>
    <row r="21" customFormat="false" ht="15" hidden="false" customHeight="false" outlineLevel="0" collapsed="false">
      <c r="A21" s="25" t="n">
        <v>18</v>
      </c>
      <c r="B21" s="22" t="n">
        <f aca="false">ROUNDUP(A21/12,0)</f>
        <v>2</v>
      </c>
      <c r="C21" s="25" t="n">
        <f aca="false">COUNTIF(Assumptions!$B$51:$B$57,"&lt;="&amp;A21)</f>
        <v>2</v>
      </c>
      <c r="D21" s="26" t="n">
        <f aca="false">INDEX(Assumptions!$B$42:$B$46,MATCH(B21,Assumptions!$A$42:$A$46,0))</f>
        <v>2</v>
      </c>
      <c r="E21" s="26" t="n">
        <f aca="false">E20*(1-Assumptions!$B$33)+D21</f>
        <v>20.8275431719829</v>
      </c>
      <c r="F21" s="26" t="n">
        <f aca="false">MAX(0,E21-D21*(1-Assumptions!$B$31)-D20*(1-Assumptions!$B$32))</f>
        <v>19.1275431719829</v>
      </c>
      <c r="G21" s="26" t="n">
        <f aca="false">F21*Assumptions!$B$26</f>
        <v>114.765259031897</v>
      </c>
      <c r="H21" s="26" t="n">
        <f aca="false">K20+G21</f>
        <v>249.667399445736</v>
      </c>
      <c r="I21" s="26" t="n">
        <f aca="false">MIN(F21*Assumptions!$B$27,H21*Assumptions!$B$28)</f>
        <v>749.002198337207</v>
      </c>
      <c r="J21" s="26" t="n">
        <f aca="false">I21*Assumptions!$B$29</f>
        <v>89.8802638004648</v>
      </c>
      <c r="K21" s="26" t="n">
        <f aca="false">MAX(0,H21-J21)*(1-Assumptions!$B$30)</f>
        <v>147.004164793649</v>
      </c>
      <c r="L21" s="27" t="n">
        <f aca="false">Assumptions!$B$14*(1+Assumptions!$B$15)^((A21-1)/12)</f>
        <v>935549.974602237</v>
      </c>
      <c r="M21" s="27" t="n">
        <f aca="false">J21*L21*Assumptions!$B$18</f>
        <v>8408747.85157672</v>
      </c>
      <c r="N21" s="27" t="n">
        <f aca="false">MAX(0,I21-J21)*Assumptions!$B$19</f>
        <v>1318243.86907348</v>
      </c>
      <c r="O21" s="26" t="n">
        <f aca="false">O20*(1-Assumptions!$B$23/12)+IF(A21&gt;=Assumptions!$B$22,J21*Assumptions!$B$21,0)</f>
        <v>106.17233619443</v>
      </c>
      <c r="P21" s="27" t="n">
        <f aca="false">O21*L21*Assumptions!$B$20/12</f>
        <v>620809.540188496</v>
      </c>
      <c r="Q21" s="26" t="n">
        <f aca="false">IF(A21&gt;=Assumptions!$B$61,(A21-Assumptions!$B$61+1)*Assumptions!$B$64,0)</f>
        <v>0</v>
      </c>
      <c r="R21" s="27" t="n">
        <f aca="false">Q21*Assumptions!$B$62*Assumptions!$B$63</f>
        <v>0</v>
      </c>
      <c r="S21" s="17" t="n">
        <f aca="false">M21+N21+P21+R21</f>
        <v>10347801.2608387</v>
      </c>
      <c r="T21" s="27" t="n">
        <f aca="false">M21*Assumptions!$B$37+R21*Assumptions!$B$38</f>
        <v>2522624.35547302</v>
      </c>
      <c r="U21" s="27" t="n">
        <f aca="false">E21*Assumptions!$B$36</f>
        <v>1666203.45375863</v>
      </c>
      <c r="V21" s="27" t="n">
        <f aca="false">T21+U21</f>
        <v>4188827.80923165</v>
      </c>
      <c r="W21" s="27" t="n">
        <f aca="false">S21-V21</f>
        <v>6158973.45160705</v>
      </c>
      <c r="X21" s="28" t="n">
        <f aca="false">IFERROR(W21/S21,0)</f>
        <v>0.595196341363427</v>
      </c>
      <c r="Y21" s="27" t="n">
        <f aca="false">INDEX(Assumptions!$B$68:$B$72,MATCH(B21,Assumptions!$A$68:$A$72,0))</f>
        <v>1500000</v>
      </c>
      <c r="Z21" s="27" t="n">
        <f aca="false">INDEX(Assumptions!$C$68:$C$72,MATCH(B21,Assumptions!$A$68:$A$72,0))</f>
        <v>250000</v>
      </c>
      <c r="AA21" s="27" t="n">
        <f aca="false">INDEX(Assumptions!$D$68:$D$72,MATCH(B21,Assumptions!$A$68:$A$72,0))</f>
        <v>700000</v>
      </c>
      <c r="AB21" s="27" t="n">
        <f aca="false">INDEX(Assumptions!$E$68:$E$72,MATCH(B21,Assumptions!$A$68:$A$72,0))</f>
        <v>400000</v>
      </c>
      <c r="AC21" s="27" t="n">
        <f aca="false">MAX(0,C21-C20)*Assumptions!$B$58</f>
        <v>0</v>
      </c>
      <c r="AD21" s="27" t="n">
        <f aca="false">SUM(Y21:AC21)</f>
        <v>2850000</v>
      </c>
      <c r="AE21" s="17" t="n">
        <f aca="false">W21-AD21</f>
        <v>3308973.45160705</v>
      </c>
      <c r="AF21" s="27" t="n">
        <f aca="false">AF20+AE21</f>
        <v>3118905.88304472</v>
      </c>
    </row>
    <row r="22" customFormat="false" ht="15" hidden="false" customHeight="false" outlineLevel="0" collapsed="false">
      <c r="A22" s="25" t="n">
        <v>19</v>
      </c>
      <c r="B22" s="22" t="n">
        <f aca="false">ROUNDUP(A22/12,0)</f>
        <v>2</v>
      </c>
      <c r="C22" s="25" t="n">
        <f aca="false">COUNTIF(Assumptions!$B$51:$B$57,"&lt;="&amp;A22)</f>
        <v>3</v>
      </c>
      <c r="D22" s="26" t="n">
        <f aca="false">INDEX(Assumptions!$B$42:$B$46,MATCH(B22,Assumptions!$A$42:$A$46,0))</f>
        <v>2</v>
      </c>
      <c r="E22" s="26" t="n">
        <f aca="false">E21*(1-Assumptions!$B$33)+D22</f>
        <v>22.2027168768234</v>
      </c>
      <c r="F22" s="26" t="n">
        <f aca="false">MAX(0,E22-D22*(1-Assumptions!$B$31)-D21*(1-Assumptions!$B$32))</f>
        <v>20.5027168768234</v>
      </c>
      <c r="G22" s="26" t="n">
        <f aca="false">F22*Assumptions!$B$26</f>
        <v>123.016301260941</v>
      </c>
      <c r="H22" s="26" t="n">
        <f aca="false">K21+G22</f>
        <v>270.02046605459</v>
      </c>
      <c r="I22" s="26" t="n">
        <f aca="false">MIN(F22*Assumptions!$B$27,H22*Assumptions!$B$28)</f>
        <v>810.061398163769</v>
      </c>
      <c r="J22" s="26" t="n">
        <f aca="false">I22*Assumptions!$B$29</f>
        <v>97.2073677796523</v>
      </c>
      <c r="K22" s="26" t="n">
        <f aca="false">MAX(0,H22-J22)*(1-Assumptions!$B$30)</f>
        <v>158.988050412942</v>
      </c>
      <c r="L22" s="27" t="n">
        <f aca="false">Assumptions!$B$14*(1+Assumptions!$B$15)^((A22-1)/12)</f>
        <v>946509.864829073</v>
      </c>
      <c r="M22" s="27" t="n">
        <f aca="false">J22*L22*Assumptions!$B$18</f>
        <v>9200773.25375087</v>
      </c>
      <c r="N22" s="27" t="n">
        <f aca="false">MAX(0,I22-J22)*Assumptions!$B$19</f>
        <v>1425708.06076823</v>
      </c>
      <c r="O22" s="26" t="n">
        <f aca="false">O21*(1-Assumptions!$B$23/12)+IF(A22&gt;=Assumptions!$B$22,J22*Assumptions!$B$21,0)</f>
        <v>129.589408671056</v>
      </c>
      <c r="P22" s="27" t="n">
        <f aca="false">O22*L22*Assumptions!$B$20/12</f>
        <v>766610.335528256</v>
      </c>
      <c r="Q22" s="26" t="n">
        <f aca="false">IF(A22&gt;=Assumptions!$B$61,(A22-Assumptions!$B$61+1)*Assumptions!$B$64,0)</f>
        <v>0</v>
      </c>
      <c r="R22" s="27" t="n">
        <f aca="false">Q22*Assumptions!$B$62*Assumptions!$B$63</f>
        <v>0</v>
      </c>
      <c r="S22" s="17" t="n">
        <f aca="false">M22+N22+P22+R22</f>
        <v>11393091.6500474</v>
      </c>
      <c r="T22" s="27" t="n">
        <f aca="false">M22*Assumptions!$B$37+R22*Assumptions!$B$38</f>
        <v>2760231.97612526</v>
      </c>
      <c r="U22" s="27" t="n">
        <f aca="false">E22*Assumptions!$B$36</f>
        <v>1776217.35014587</v>
      </c>
      <c r="V22" s="27" t="n">
        <f aca="false">T22+U22</f>
        <v>4536449.32627113</v>
      </c>
      <c r="W22" s="27" t="n">
        <f aca="false">S22-V22</f>
        <v>6856642.32377622</v>
      </c>
      <c r="X22" s="28" t="n">
        <f aca="false">IFERROR(W22/S22,0)</f>
        <v>0.601824556001682</v>
      </c>
      <c r="Y22" s="27" t="n">
        <f aca="false">INDEX(Assumptions!$B$68:$B$72,MATCH(B22,Assumptions!$A$68:$A$72,0))</f>
        <v>1500000</v>
      </c>
      <c r="Z22" s="27" t="n">
        <f aca="false">INDEX(Assumptions!$C$68:$C$72,MATCH(B22,Assumptions!$A$68:$A$72,0))</f>
        <v>250000</v>
      </c>
      <c r="AA22" s="27" t="n">
        <f aca="false">INDEX(Assumptions!$D$68:$D$72,MATCH(B22,Assumptions!$A$68:$A$72,0))</f>
        <v>700000</v>
      </c>
      <c r="AB22" s="27" t="n">
        <f aca="false">INDEX(Assumptions!$E$68:$E$72,MATCH(B22,Assumptions!$A$68:$A$72,0))</f>
        <v>400000</v>
      </c>
      <c r="AC22" s="27" t="n">
        <f aca="false">MAX(0,C22-C21)*Assumptions!$B$58</f>
        <v>1500000</v>
      </c>
      <c r="AD22" s="27" t="n">
        <f aca="false">SUM(Y22:AC22)</f>
        <v>4350000</v>
      </c>
      <c r="AE22" s="17" t="n">
        <f aca="false">W22-AD22</f>
        <v>2506642.32377622</v>
      </c>
      <c r="AF22" s="27" t="n">
        <f aca="false">AF21+AE22</f>
        <v>5625548.20682095</v>
      </c>
    </row>
    <row r="23" customFormat="false" ht="15" hidden="false" customHeight="false" outlineLevel="0" collapsed="false">
      <c r="A23" s="25" t="n">
        <v>20</v>
      </c>
      <c r="B23" s="22" t="n">
        <f aca="false">ROUNDUP(A23/12,0)</f>
        <v>2</v>
      </c>
      <c r="C23" s="25" t="n">
        <f aca="false">COUNTIF(Assumptions!$B$51:$B$57,"&lt;="&amp;A23)</f>
        <v>3</v>
      </c>
      <c r="D23" s="26" t="n">
        <f aca="false">INDEX(Assumptions!$B$42:$B$46,MATCH(B23,Assumptions!$A$42:$A$46,0))</f>
        <v>2</v>
      </c>
      <c r="E23" s="26" t="n">
        <f aca="false">E22*(1-Assumptions!$B$33)+D23</f>
        <v>23.5366353705187</v>
      </c>
      <c r="F23" s="26" t="n">
        <f aca="false">MAX(0,E23-D23*(1-Assumptions!$B$31)-D22*(1-Assumptions!$B$32))</f>
        <v>21.8366353705187</v>
      </c>
      <c r="G23" s="26" t="n">
        <f aca="false">F23*Assumptions!$B$26</f>
        <v>131.019812223112</v>
      </c>
      <c r="H23" s="26" t="n">
        <f aca="false">K22+G23</f>
        <v>290.007862636055</v>
      </c>
      <c r="I23" s="26" t="n">
        <f aca="false">MIN(F23*Assumptions!$B$27,H23*Assumptions!$B$28)</f>
        <v>870.023587908164</v>
      </c>
      <c r="J23" s="26" t="n">
        <f aca="false">I23*Assumptions!$B$29</f>
        <v>104.40283054898</v>
      </c>
      <c r="K23" s="26" t="n">
        <f aca="false">MAX(0,H23-J23)*(1-Assumptions!$B$30)</f>
        <v>170.756629520109</v>
      </c>
      <c r="L23" s="27" t="n">
        <f aca="false">Assumptions!$B$14*(1+Assumptions!$B$15)^((A23-1)/12)</f>
        <v>957598.149259367</v>
      </c>
      <c r="M23" s="27" t="n">
        <f aca="false">J23*L23*Assumptions!$B$18</f>
        <v>9997595.73111423</v>
      </c>
      <c r="N23" s="27" t="n">
        <f aca="false">MAX(0,I23-J23)*Assumptions!$B$19</f>
        <v>1531241.51471837</v>
      </c>
      <c r="O23" s="26" t="n">
        <f aca="false">O22*(1-Assumptions!$B$23/12)+IF(A23&gt;=Assumptions!$B$22,J23*Assumptions!$B$21,0)</f>
        <v>154.610204569376</v>
      </c>
      <c r="P23" s="27" t="n">
        <f aca="false">O23*L23*Assumptions!$B$20/12</f>
        <v>925340.28595154</v>
      </c>
      <c r="Q23" s="26" t="n">
        <f aca="false">IF(A23&gt;=Assumptions!$B$61,(A23-Assumptions!$B$61+1)*Assumptions!$B$64,0)</f>
        <v>0</v>
      </c>
      <c r="R23" s="27" t="n">
        <f aca="false">Q23*Assumptions!$B$62*Assumptions!$B$63</f>
        <v>0</v>
      </c>
      <c r="S23" s="17" t="n">
        <f aca="false">M23+N23+P23+R23</f>
        <v>12454177.5317841</v>
      </c>
      <c r="T23" s="27" t="n">
        <f aca="false">M23*Assumptions!$B$37+R23*Assumptions!$B$38</f>
        <v>2999278.71933427</v>
      </c>
      <c r="U23" s="27" t="n">
        <f aca="false">E23*Assumptions!$B$36</f>
        <v>1882930.8296415</v>
      </c>
      <c r="V23" s="27" t="n">
        <f aca="false">T23+U23</f>
        <v>4882209.54897577</v>
      </c>
      <c r="W23" s="27" t="n">
        <f aca="false">S23-V23</f>
        <v>7571967.98280837</v>
      </c>
      <c r="X23" s="28" t="n">
        <f aca="false">IFERROR(W23/S23,0)</f>
        <v>0.607986192864527</v>
      </c>
      <c r="Y23" s="27" t="n">
        <f aca="false">INDEX(Assumptions!$B$68:$B$72,MATCH(B23,Assumptions!$A$68:$A$72,0))</f>
        <v>1500000</v>
      </c>
      <c r="Z23" s="27" t="n">
        <f aca="false">INDEX(Assumptions!$C$68:$C$72,MATCH(B23,Assumptions!$A$68:$A$72,0))</f>
        <v>250000</v>
      </c>
      <c r="AA23" s="27" t="n">
        <f aca="false">INDEX(Assumptions!$D$68:$D$72,MATCH(B23,Assumptions!$A$68:$A$72,0))</f>
        <v>700000</v>
      </c>
      <c r="AB23" s="27" t="n">
        <f aca="false">INDEX(Assumptions!$E$68:$E$72,MATCH(B23,Assumptions!$A$68:$A$72,0))</f>
        <v>400000</v>
      </c>
      <c r="AC23" s="27" t="n">
        <f aca="false">MAX(0,C23-C22)*Assumptions!$B$58</f>
        <v>0</v>
      </c>
      <c r="AD23" s="27" t="n">
        <f aca="false">SUM(Y23:AC23)</f>
        <v>2850000</v>
      </c>
      <c r="AE23" s="17" t="n">
        <f aca="false">W23-AD23</f>
        <v>4721967.98280837</v>
      </c>
      <c r="AF23" s="27" t="n">
        <f aca="false">AF22+AE23</f>
        <v>10347516.1896293</v>
      </c>
    </row>
    <row r="24" customFormat="false" ht="15" hidden="false" customHeight="false" outlineLevel="0" collapsed="false">
      <c r="A24" s="25" t="n">
        <v>21</v>
      </c>
      <c r="B24" s="22" t="n">
        <f aca="false">ROUNDUP(A24/12,0)</f>
        <v>2</v>
      </c>
      <c r="C24" s="25" t="n">
        <f aca="false">COUNTIF(Assumptions!$B$51:$B$57,"&lt;="&amp;A24)</f>
        <v>3</v>
      </c>
      <c r="D24" s="26" t="n">
        <f aca="false">INDEX(Assumptions!$B$42:$B$46,MATCH(B24,Assumptions!$A$42:$A$46,0))</f>
        <v>2</v>
      </c>
      <c r="E24" s="26" t="n">
        <f aca="false">E23*(1-Assumptions!$B$33)+D24</f>
        <v>24.8305363094032</v>
      </c>
      <c r="F24" s="26" t="n">
        <f aca="false">MAX(0,E24-D24*(1-Assumptions!$B$31)-D23*(1-Assumptions!$B$32))</f>
        <v>23.1305363094032</v>
      </c>
      <c r="G24" s="26" t="n">
        <f aca="false">F24*Assumptions!$B$26</f>
        <v>138.783217856419</v>
      </c>
      <c r="H24" s="26" t="n">
        <f aca="false">K23+G24</f>
        <v>309.539847376528</v>
      </c>
      <c r="I24" s="26" t="n">
        <f aca="false">MIN(F24*Assumptions!$B$27,H24*Assumptions!$B$28)</f>
        <v>925.221452376126</v>
      </c>
      <c r="J24" s="26" t="n">
        <f aca="false">I24*Assumptions!$B$29</f>
        <v>111.026574285135</v>
      </c>
      <c r="K24" s="26" t="n">
        <f aca="false">MAX(0,H24-J24)*(1-Assumptions!$B$30)</f>
        <v>182.632211244081</v>
      </c>
      <c r="L24" s="27" t="n">
        <f aca="false">Assumptions!$B$14*(1+Assumptions!$B$15)^((A24-1)/12)</f>
        <v>968816.332020546</v>
      </c>
      <c r="M24" s="27" t="n">
        <f aca="false">J24*L24*Assumptions!$B$18</f>
        <v>10756435.8455731</v>
      </c>
      <c r="N24" s="27" t="n">
        <f aca="false">MAX(0,I24-J24)*Assumptions!$B$19</f>
        <v>1628389.75618198</v>
      </c>
      <c r="O24" s="26" t="n">
        <f aca="false">O23*(1-Assumptions!$B$23/12)+IF(A24&gt;=Assumptions!$B$22,J24*Assumptions!$B$21,0)</f>
        <v>181.078429769248</v>
      </c>
      <c r="P24" s="27" t="n">
        <f aca="false">O24*L24*Assumptions!$B$20/12</f>
        <v>1096448.37585677</v>
      </c>
      <c r="Q24" s="26" t="n">
        <f aca="false">IF(A24&gt;=Assumptions!$B$61,(A24-Assumptions!$B$61+1)*Assumptions!$B$64,0)</f>
        <v>0</v>
      </c>
      <c r="R24" s="27" t="n">
        <f aca="false">Q24*Assumptions!$B$62*Assumptions!$B$63</f>
        <v>0</v>
      </c>
      <c r="S24" s="17" t="n">
        <f aca="false">M24+N24+P24+R24</f>
        <v>13481273.9776119</v>
      </c>
      <c r="T24" s="27" t="n">
        <f aca="false">M24*Assumptions!$B$37+R24*Assumptions!$B$38</f>
        <v>3226930.75367194</v>
      </c>
      <c r="U24" s="27" t="n">
        <f aca="false">E24*Assumptions!$B$36</f>
        <v>1986442.90475225</v>
      </c>
      <c r="V24" s="27" t="n">
        <f aca="false">T24+U24</f>
        <v>5213373.65842419</v>
      </c>
      <c r="W24" s="27" t="n">
        <f aca="false">S24-V24</f>
        <v>8267900.31918769</v>
      </c>
      <c r="X24" s="28" t="n">
        <f aca="false">IFERROR(W24/S24,0)</f>
        <v>0.613287759963787</v>
      </c>
      <c r="Y24" s="27" t="n">
        <f aca="false">INDEX(Assumptions!$B$68:$B$72,MATCH(B24,Assumptions!$A$68:$A$72,0))</f>
        <v>1500000</v>
      </c>
      <c r="Z24" s="27" t="n">
        <f aca="false">INDEX(Assumptions!$C$68:$C$72,MATCH(B24,Assumptions!$A$68:$A$72,0))</f>
        <v>250000</v>
      </c>
      <c r="AA24" s="27" t="n">
        <f aca="false">INDEX(Assumptions!$D$68:$D$72,MATCH(B24,Assumptions!$A$68:$A$72,0))</f>
        <v>700000</v>
      </c>
      <c r="AB24" s="27" t="n">
        <f aca="false">INDEX(Assumptions!$E$68:$E$72,MATCH(B24,Assumptions!$A$68:$A$72,0))</f>
        <v>400000</v>
      </c>
      <c r="AC24" s="27" t="n">
        <f aca="false">MAX(0,C24-C23)*Assumptions!$B$58</f>
        <v>0</v>
      </c>
      <c r="AD24" s="27" t="n">
        <f aca="false">SUM(Y24:AC24)</f>
        <v>2850000</v>
      </c>
      <c r="AE24" s="17" t="n">
        <f aca="false">W24-AD24</f>
        <v>5417900.31918769</v>
      </c>
      <c r="AF24" s="27" t="n">
        <f aca="false">AF23+AE24</f>
        <v>15765416.508817</v>
      </c>
    </row>
    <row r="25" customFormat="false" ht="15" hidden="false" customHeight="false" outlineLevel="0" collapsed="false">
      <c r="A25" s="25" t="n">
        <v>22</v>
      </c>
      <c r="B25" s="22" t="n">
        <f aca="false">ROUNDUP(A25/12,0)</f>
        <v>2</v>
      </c>
      <c r="C25" s="25" t="n">
        <f aca="false">COUNTIF(Assumptions!$B$51:$B$57,"&lt;="&amp;A25)</f>
        <v>3</v>
      </c>
      <c r="D25" s="26" t="n">
        <f aca="false">INDEX(Assumptions!$B$42:$B$46,MATCH(B25,Assumptions!$A$42:$A$46,0))</f>
        <v>2</v>
      </c>
      <c r="E25" s="26" t="n">
        <f aca="false">E24*(1-Assumptions!$B$33)+D25</f>
        <v>26.0856202201211</v>
      </c>
      <c r="F25" s="26" t="n">
        <f aca="false">MAX(0,E25-D25*(1-Assumptions!$B$31)-D24*(1-Assumptions!$B$32))</f>
        <v>24.3856202201211</v>
      </c>
      <c r="G25" s="26" t="n">
        <f aca="false">F25*Assumptions!$B$26</f>
        <v>146.313721320726</v>
      </c>
      <c r="H25" s="26" t="n">
        <f aca="false">K24+G25</f>
        <v>328.945932564808</v>
      </c>
      <c r="I25" s="26" t="n">
        <f aca="false">MIN(F25*Assumptions!$B$27,H25*Assumptions!$B$28)</f>
        <v>975.424808804843</v>
      </c>
      <c r="J25" s="26" t="n">
        <f aca="false">I25*Assumptions!$B$29</f>
        <v>117.050977056581</v>
      </c>
      <c r="K25" s="26" t="n">
        <f aca="false">MAX(0,H25-J25)*(1-Assumptions!$B$30)</f>
        <v>194.943359067569</v>
      </c>
      <c r="L25" s="27" t="n">
        <f aca="false">Assumptions!$B$14*(1+Assumptions!$B$15)^((A25-1)/12)</f>
        <v>980165.934860764</v>
      </c>
      <c r="M25" s="27" t="n">
        <f aca="false">J25*L25*Assumptions!$B$18</f>
        <v>11472938.035303</v>
      </c>
      <c r="N25" s="27" t="n">
        <f aca="false">MAX(0,I25-J25)*Assumptions!$B$19</f>
        <v>1716747.66349652</v>
      </c>
      <c r="O25" s="26" t="n">
        <f aca="false">O24*(1-Assumptions!$B$23/12)+IF(A25&gt;=Assumptions!$B$22,J25*Assumptions!$B$21,0)</f>
        <v>208.83218711865</v>
      </c>
      <c r="P25" s="27" t="n">
        <f aca="false">O25*L25*Assumptions!$B$20/12</f>
        <v>1279313.72447606</v>
      </c>
      <c r="Q25" s="26" t="n">
        <f aca="false">IF(A25&gt;=Assumptions!$B$61,(A25-Assumptions!$B$61+1)*Assumptions!$B$64,0)</f>
        <v>0</v>
      </c>
      <c r="R25" s="27" t="n">
        <f aca="false">Q25*Assumptions!$B$62*Assumptions!$B$63</f>
        <v>0</v>
      </c>
      <c r="S25" s="17" t="n">
        <f aca="false">M25+N25+P25+R25</f>
        <v>14468999.4232755</v>
      </c>
      <c r="T25" s="27" t="n">
        <f aca="false">M25*Assumptions!$B$37+R25*Assumptions!$B$38</f>
        <v>3441881.41059089</v>
      </c>
      <c r="U25" s="27" t="n">
        <f aca="false">E25*Assumptions!$B$36</f>
        <v>2086849.61760968</v>
      </c>
      <c r="V25" s="27" t="n">
        <f aca="false">T25+U25</f>
        <v>5528731.02820057</v>
      </c>
      <c r="W25" s="27" t="n">
        <f aca="false">S25-V25</f>
        <v>8940268.39507497</v>
      </c>
      <c r="X25" s="28" t="n">
        <f aca="false">IFERROR(W25/S25,0)</f>
        <v>0.617891267636186</v>
      </c>
      <c r="Y25" s="27" t="n">
        <f aca="false">INDEX(Assumptions!$B$68:$B$72,MATCH(B25,Assumptions!$A$68:$A$72,0))</f>
        <v>1500000</v>
      </c>
      <c r="Z25" s="27" t="n">
        <f aca="false">INDEX(Assumptions!$C$68:$C$72,MATCH(B25,Assumptions!$A$68:$A$72,0))</f>
        <v>250000</v>
      </c>
      <c r="AA25" s="27" t="n">
        <f aca="false">INDEX(Assumptions!$D$68:$D$72,MATCH(B25,Assumptions!$A$68:$A$72,0))</f>
        <v>700000</v>
      </c>
      <c r="AB25" s="27" t="n">
        <f aca="false">INDEX(Assumptions!$E$68:$E$72,MATCH(B25,Assumptions!$A$68:$A$72,0))</f>
        <v>400000</v>
      </c>
      <c r="AC25" s="27" t="n">
        <f aca="false">MAX(0,C25-C24)*Assumptions!$B$58</f>
        <v>0</v>
      </c>
      <c r="AD25" s="27" t="n">
        <f aca="false">SUM(Y25:AC25)</f>
        <v>2850000</v>
      </c>
      <c r="AE25" s="17" t="n">
        <f aca="false">W25-AD25</f>
        <v>6090268.39507497</v>
      </c>
      <c r="AF25" s="27" t="n">
        <f aca="false">AF24+AE25</f>
        <v>21855684.903892</v>
      </c>
    </row>
    <row r="26" customFormat="false" ht="15" hidden="false" customHeight="false" outlineLevel="0" collapsed="false">
      <c r="A26" s="25" t="n">
        <v>23</v>
      </c>
      <c r="B26" s="22" t="n">
        <f aca="false">ROUNDUP(A26/12,0)</f>
        <v>2</v>
      </c>
      <c r="C26" s="25" t="n">
        <f aca="false">COUNTIF(Assumptions!$B$51:$B$57,"&lt;="&amp;A26)</f>
        <v>3</v>
      </c>
      <c r="D26" s="26" t="n">
        <f aca="false">INDEX(Assumptions!$B$42:$B$46,MATCH(B26,Assumptions!$A$42:$A$46,0))</f>
        <v>2</v>
      </c>
      <c r="E26" s="26" t="n">
        <f aca="false">E25*(1-Assumptions!$B$33)+D26</f>
        <v>27.3030516135174</v>
      </c>
      <c r="F26" s="26" t="n">
        <f aca="false">MAX(0,E26-D26*(1-Assumptions!$B$31)-D25*(1-Assumptions!$B$32))</f>
        <v>25.6030516135174</v>
      </c>
      <c r="G26" s="26" t="n">
        <f aca="false">F26*Assumptions!$B$26</f>
        <v>153.618309681105</v>
      </c>
      <c r="H26" s="26" t="n">
        <f aca="false">K25+G26</f>
        <v>348.561668748673</v>
      </c>
      <c r="I26" s="26" t="n">
        <f aca="false">MIN(F26*Assumptions!$B$27,H26*Assumptions!$B$28)</f>
        <v>1024.1220645407</v>
      </c>
      <c r="J26" s="26" t="n">
        <f aca="false">I26*Assumptions!$B$29</f>
        <v>122.894647744884</v>
      </c>
      <c r="K26" s="26" t="n">
        <f aca="false">MAX(0,H26-J26)*(1-Assumptions!$B$30)</f>
        <v>207.613659323486</v>
      </c>
      <c r="L26" s="27" t="n">
        <f aca="false">Assumptions!$B$14*(1+Assumptions!$B$15)^((A26-1)/12)</f>
        <v>991648.497355328</v>
      </c>
      <c r="M26" s="27" t="n">
        <f aca="false">J26*L26*Assumptions!$B$18</f>
        <v>12186829.2769226</v>
      </c>
      <c r="N26" s="27" t="n">
        <f aca="false">MAX(0,I26-J26)*Assumptions!$B$19</f>
        <v>1802454.83359163</v>
      </c>
      <c r="O26" s="26" t="n">
        <f aca="false">O25*(1-Assumptions!$B$23/12)+IF(A26&gt;=Assumptions!$B$22,J26*Assumptions!$B$21,0)</f>
        <v>237.815580828882</v>
      </c>
      <c r="P26" s="27" t="n">
        <f aca="false">O26*L26*Assumptions!$B$20/12</f>
        <v>1473934.14610403</v>
      </c>
      <c r="Q26" s="26" t="n">
        <f aca="false">IF(A26&gt;=Assumptions!$B$61,(A26-Assumptions!$B$61+1)*Assumptions!$B$64,0)</f>
        <v>0</v>
      </c>
      <c r="R26" s="27" t="n">
        <f aca="false">Q26*Assumptions!$B$62*Assumptions!$B$63</f>
        <v>0</v>
      </c>
      <c r="S26" s="17" t="n">
        <f aca="false">M26+N26+P26+R26</f>
        <v>15463218.2566183</v>
      </c>
      <c r="T26" s="27" t="n">
        <f aca="false">M26*Assumptions!$B$37+R26*Assumptions!$B$38</f>
        <v>3656048.78307679</v>
      </c>
      <c r="U26" s="27" t="n">
        <f aca="false">E26*Assumptions!$B$36</f>
        <v>2184244.12908139</v>
      </c>
      <c r="V26" s="27" t="n">
        <f aca="false">T26+U26</f>
        <v>5840292.91215818</v>
      </c>
      <c r="W26" s="27" t="n">
        <f aca="false">S26-V26</f>
        <v>9622925.3444601</v>
      </c>
      <c r="X26" s="28" t="n">
        <f aca="false">IFERROR(W26/S26,0)</f>
        <v>0.622310646125781</v>
      </c>
      <c r="Y26" s="27" t="n">
        <f aca="false">INDEX(Assumptions!$B$68:$B$72,MATCH(B26,Assumptions!$A$68:$A$72,0))</f>
        <v>1500000</v>
      </c>
      <c r="Z26" s="27" t="n">
        <f aca="false">INDEX(Assumptions!$C$68:$C$72,MATCH(B26,Assumptions!$A$68:$A$72,0))</f>
        <v>250000</v>
      </c>
      <c r="AA26" s="27" t="n">
        <f aca="false">INDEX(Assumptions!$D$68:$D$72,MATCH(B26,Assumptions!$A$68:$A$72,0))</f>
        <v>700000</v>
      </c>
      <c r="AB26" s="27" t="n">
        <f aca="false">INDEX(Assumptions!$E$68:$E$72,MATCH(B26,Assumptions!$A$68:$A$72,0))</f>
        <v>400000</v>
      </c>
      <c r="AC26" s="27" t="n">
        <f aca="false">MAX(0,C26-C25)*Assumptions!$B$58</f>
        <v>0</v>
      </c>
      <c r="AD26" s="27" t="n">
        <f aca="false">SUM(Y26:AC26)</f>
        <v>2850000</v>
      </c>
      <c r="AE26" s="17" t="n">
        <f aca="false">W26-AD26</f>
        <v>6772925.3444601</v>
      </c>
      <c r="AF26" s="27" t="n">
        <f aca="false">AF25+AE26</f>
        <v>28628610.2483521</v>
      </c>
    </row>
    <row r="27" customFormat="false" ht="15" hidden="false" customHeight="false" outlineLevel="0" collapsed="false">
      <c r="A27" s="29" t="n">
        <v>24</v>
      </c>
      <c r="B27" s="30" t="n">
        <f aca="false">ROUNDUP(A27/12,0)</f>
        <v>2</v>
      </c>
      <c r="C27" s="29" t="n">
        <f aca="false">COUNTIF(Assumptions!$B$51:$B$57,"&lt;="&amp;A27)</f>
        <v>3</v>
      </c>
      <c r="D27" s="31" t="n">
        <f aca="false">INDEX(Assumptions!$B$42:$B$46,MATCH(B27,Assumptions!$A$42:$A$46,0))</f>
        <v>2</v>
      </c>
      <c r="E27" s="31" t="n">
        <f aca="false">E26*(1-Assumptions!$B$33)+D27</f>
        <v>28.4839600651119</v>
      </c>
      <c r="F27" s="31" t="n">
        <f aca="false">MAX(0,E27-D27*(1-Assumptions!$B$31)-D26*(1-Assumptions!$B$32))</f>
        <v>26.7839600651119</v>
      </c>
      <c r="G27" s="31" t="n">
        <f aca="false">F27*Assumptions!$B$26</f>
        <v>160.703760390671</v>
      </c>
      <c r="H27" s="31" t="n">
        <f aca="false">K26+G27</f>
        <v>368.317419714158</v>
      </c>
      <c r="I27" s="31" t="n">
        <f aca="false">MIN(F27*Assumptions!$B$27,H27*Assumptions!$B$28)</f>
        <v>1071.35840260448</v>
      </c>
      <c r="J27" s="31" t="n">
        <f aca="false">I27*Assumptions!$B$29</f>
        <v>128.563008312537</v>
      </c>
      <c r="K27" s="31" t="n">
        <f aca="false">MAX(0,H27-J27)*(1-Assumptions!$B$30)</f>
        <v>220.574058489491</v>
      </c>
      <c r="L27" s="32" t="n">
        <f aca="false">Assumptions!$B$14*(1+Assumptions!$B$15)^((A27-1)/12)</f>
        <v>1003265.57711554</v>
      </c>
      <c r="M27" s="32" t="n">
        <f aca="false">J27*L27*Assumptions!$B$18</f>
        <v>12898284.0730388</v>
      </c>
      <c r="N27" s="32" t="n">
        <f aca="false">MAX(0,I27-J27)*Assumptions!$B$19</f>
        <v>1885590.78858388</v>
      </c>
      <c r="O27" s="31" t="n">
        <f aca="false">O26*(1-Assumptions!$B$23/12)+IF(A27&gt;=Assumptions!$B$22,J27*Assumptions!$B$21,0)</f>
        <v>267.974536400109</v>
      </c>
      <c r="P27" s="32" t="n">
        <f aca="false">O27*L27*Assumptions!$B$20/12</f>
        <v>1680310.17446078</v>
      </c>
      <c r="Q27" s="31" t="n">
        <f aca="false">IF(A27&gt;=Assumptions!$B$61,(A27-Assumptions!$B$61+1)*Assumptions!$B$64,0)</f>
        <v>0</v>
      </c>
      <c r="R27" s="32" t="n">
        <f aca="false">Q27*Assumptions!$B$62*Assumptions!$B$63</f>
        <v>0</v>
      </c>
      <c r="S27" s="33" t="n">
        <f aca="false">M27+N27+P27+R27</f>
        <v>16464185.0360834</v>
      </c>
      <c r="T27" s="32" t="n">
        <f aca="false">M27*Assumptions!$B$37+R27*Assumptions!$B$38</f>
        <v>3869485.22191164</v>
      </c>
      <c r="U27" s="32" t="n">
        <f aca="false">E27*Assumptions!$B$36</f>
        <v>2278716.80520895</v>
      </c>
      <c r="V27" s="32" t="n">
        <f aca="false">T27+U27</f>
        <v>6148202.02712059</v>
      </c>
      <c r="W27" s="32" t="n">
        <f aca="false">S27-V27</f>
        <v>10315983.0089629</v>
      </c>
      <c r="X27" s="34" t="n">
        <f aca="false">IFERROR(W27/S27,0)</f>
        <v>0.626571129172444</v>
      </c>
      <c r="Y27" s="32" t="n">
        <f aca="false">INDEX(Assumptions!$B$68:$B$72,MATCH(B27,Assumptions!$A$68:$A$72,0))</f>
        <v>1500000</v>
      </c>
      <c r="Z27" s="32" t="n">
        <f aca="false">INDEX(Assumptions!$C$68:$C$72,MATCH(B27,Assumptions!$A$68:$A$72,0))</f>
        <v>250000</v>
      </c>
      <c r="AA27" s="32" t="n">
        <f aca="false">INDEX(Assumptions!$D$68:$D$72,MATCH(B27,Assumptions!$A$68:$A$72,0))</f>
        <v>700000</v>
      </c>
      <c r="AB27" s="32" t="n">
        <f aca="false">INDEX(Assumptions!$E$68:$E$72,MATCH(B27,Assumptions!$A$68:$A$72,0))</f>
        <v>400000</v>
      </c>
      <c r="AC27" s="32" t="n">
        <f aca="false">MAX(0,C27-C26)*Assumptions!$B$58</f>
        <v>0</v>
      </c>
      <c r="AD27" s="32" t="n">
        <f aca="false">SUM(Y27:AC27)</f>
        <v>2850000</v>
      </c>
      <c r="AE27" s="33" t="n">
        <f aca="false">W27-AD27</f>
        <v>7465983.00896286</v>
      </c>
      <c r="AF27" s="32" t="n">
        <f aca="false">AF26+AE27</f>
        <v>36094593.2573149</v>
      </c>
    </row>
    <row r="28" customFormat="false" ht="15" hidden="false" customHeight="false" outlineLevel="0" collapsed="false">
      <c r="A28" s="25" t="n">
        <v>25</v>
      </c>
      <c r="B28" s="22" t="n">
        <f aca="false">ROUNDUP(A28/12,0)</f>
        <v>3</v>
      </c>
      <c r="C28" s="25" t="n">
        <f aca="false">COUNTIF(Assumptions!$B$51:$B$57,"&lt;="&amp;A28)</f>
        <v>4</v>
      </c>
      <c r="D28" s="26" t="n">
        <f aca="false">INDEX(Assumptions!$B$42:$B$46,MATCH(B28,Assumptions!$A$42:$A$46,0))</f>
        <v>3</v>
      </c>
      <c r="E28" s="26" t="n">
        <f aca="false">E27*(1-Assumptions!$B$33)+D28</f>
        <v>30.6294412631585</v>
      </c>
      <c r="F28" s="26" t="n">
        <f aca="false">MAX(0,E28-D28*(1-Assumptions!$B$31)-D27*(1-Assumptions!$B$32))</f>
        <v>28.3294412631585</v>
      </c>
      <c r="G28" s="26" t="n">
        <f aca="false">F28*Assumptions!$B$26</f>
        <v>169.976647578951</v>
      </c>
      <c r="H28" s="26" t="n">
        <f aca="false">K27+G28</f>
        <v>390.550706068442</v>
      </c>
      <c r="I28" s="26" t="n">
        <f aca="false">MIN(F28*Assumptions!$B$27,H28*Assumptions!$B$28)</f>
        <v>1133.17765052634</v>
      </c>
      <c r="J28" s="26" t="n">
        <f aca="false">I28*Assumptions!$B$29</f>
        <v>135.981318063161</v>
      </c>
      <c r="K28" s="26" t="n">
        <f aca="false">MAX(0,H28-J28)*(1-Assumptions!$B$30)</f>
        <v>234.203836964859</v>
      </c>
      <c r="L28" s="27" t="n">
        <f aca="false">Assumptions!$B$14*(1+Assumptions!$B$15)^((A28-1)/12)</f>
        <v>1015018.75</v>
      </c>
      <c r="M28" s="27" t="n">
        <f aca="false">J28*L28*Assumptions!$B$18</f>
        <v>13802358.7483822</v>
      </c>
      <c r="N28" s="27" t="n">
        <f aca="false">MAX(0,I28-J28)*Assumptions!$B$19</f>
        <v>1994392.66492636</v>
      </c>
      <c r="O28" s="26" t="n">
        <f aca="false">O27*(1-Assumptions!$B$23/12)+IF(A28&gt;=Assumptions!$B$22,J28*Assumptions!$B$21,0)</f>
        <v>299.736744779232</v>
      </c>
      <c r="P28" s="27" t="n">
        <f aca="false">O28*L28*Assumptions!$B$20/12</f>
        <v>1901490.10009303</v>
      </c>
      <c r="Q28" s="26" t="n">
        <f aca="false">IF(A28&gt;=Assumptions!$B$61,(A28-Assumptions!$B$61+1)*Assumptions!$B$64,0)</f>
        <v>0.3</v>
      </c>
      <c r="R28" s="27" t="n">
        <f aca="false">Q28*Assumptions!$B$62*Assumptions!$B$63</f>
        <v>450000</v>
      </c>
      <c r="S28" s="17" t="n">
        <f aca="false">M28+N28+P28+R28</f>
        <v>18148241.5134016</v>
      </c>
      <c r="T28" s="27" t="n">
        <f aca="false">M28*Assumptions!$B$37+R28*Assumptions!$B$38</f>
        <v>4275707.62451466</v>
      </c>
      <c r="U28" s="27" t="n">
        <f aca="false">E28*Assumptions!$B$36</f>
        <v>2450355.30105268</v>
      </c>
      <c r="V28" s="27" t="n">
        <f aca="false">T28+U28</f>
        <v>6726062.92556735</v>
      </c>
      <c r="W28" s="27" t="n">
        <f aca="false">S28-V28</f>
        <v>11422178.5878343</v>
      </c>
      <c r="X28" s="28" t="n">
        <f aca="false">IFERROR(W28/S28,0)</f>
        <v>0.629382112828922</v>
      </c>
      <c r="Y28" s="27" t="n">
        <f aca="false">INDEX(Assumptions!$B$68:$B$72,MATCH(B28,Assumptions!$A$68:$A$72,0))</f>
        <v>3000000</v>
      </c>
      <c r="Z28" s="27" t="n">
        <f aca="false">INDEX(Assumptions!$C$68:$C$72,MATCH(B28,Assumptions!$A$68:$A$72,0))</f>
        <v>400000</v>
      </c>
      <c r="AA28" s="27" t="n">
        <f aca="false">INDEX(Assumptions!$D$68:$D$72,MATCH(B28,Assumptions!$A$68:$A$72,0))</f>
        <v>1500000</v>
      </c>
      <c r="AB28" s="27" t="n">
        <f aca="false">INDEX(Assumptions!$E$68:$E$72,MATCH(B28,Assumptions!$A$68:$A$72,0))</f>
        <v>700000</v>
      </c>
      <c r="AC28" s="27" t="n">
        <f aca="false">MAX(0,C28-C27)*Assumptions!$B$58</f>
        <v>1500000</v>
      </c>
      <c r="AD28" s="27" t="n">
        <f aca="false">SUM(Y28:AC28)</f>
        <v>7100000</v>
      </c>
      <c r="AE28" s="17" t="n">
        <f aca="false">W28-AD28</f>
        <v>4322178.58783426</v>
      </c>
      <c r="AF28" s="27" t="n">
        <f aca="false">AF27+AE28</f>
        <v>40416771.8451492</v>
      </c>
    </row>
    <row r="29" customFormat="false" ht="15" hidden="false" customHeight="false" outlineLevel="0" collapsed="false">
      <c r="A29" s="25" t="n">
        <v>26</v>
      </c>
      <c r="B29" s="22" t="n">
        <f aca="false">ROUNDUP(A29/12,0)</f>
        <v>3</v>
      </c>
      <c r="C29" s="25" t="n">
        <f aca="false">COUNTIF(Assumptions!$B$51:$B$57,"&lt;="&amp;A29)</f>
        <v>4</v>
      </c>
      <c r="D29" s="26" t="n">
        <f aca="false">INDEX(Assumptions!$B$42:$B$46,MATCH(B29,Assumptions!$A$42:$A$46,0))</f>
        <v>3</v>
      </c>
      <c r="E29" s="26" t="n">
        <f aca="false">E28*(1-Assumptions!$B$33)+D29</f>
        <v>32.7105580252638</v>
      </c>
      <c r="F29" s="26" t="n">
        <f aca="false">MAX(0,E29-D29*(1-Assumptions!$B$31)-D28*(1-Assumptions!$B$32))</f>
        <v>30.1605580252638</v>
      </c>
      <c r="G29" s="26" t="n">
        <f aca="false">F29*Assumptions!$B$26</f>
        <v>180.963348151583</v>
      </c>
      <c r="H29" s="26" t="n">
        <f aca="false">K28+G29</f>
        <v>415.167185116441</v>
      </c>
      <c r="I29" s="26" t="n">
        <f aca="false">MIN(F29*Assumptions!$B$27,H29*Assumptions!$B$28)</f>
        <v>1206.42232101055</v>
      </c>
      <c r="J29" s="26" t="n">
        <f aca="false">I29*Assumptions!$B$29</f>
        <v>144.770678521266</v>
      </c>
      <c r="K29" s="26" t="n">
        <f aca="false">MAX(0,H29-J29)*(1-Assumptions!$B$30)</f>
        <v>248.764786067561</v>
      </c>
      <c r="L29" s="27" t="n">
        <f aca="false">Assumptions!$B$14*(1+Assumptions!$B$15)^((A29-1)/12)</f>
        <v>1026909.61032834</v>
      </c>
      <c r="M29" s="27" t="n">
        <f aca="false">J29*L29*Assumptions!$B$18</f>
        <v>14866640.1067243</v>
      </c>
      <c r="N29" s="27" t="n">
        <f aca="false">MAX(0,I29-J29)*Assumptions!$B$19</f>
        <v>2123303.28497857</v>
      </c>
      <c r="O29" s="26" t="n">
        <f aca="false">O28*(1-Assumptions!$B$23/12)+IF(A29&gt;=Assumptions!$B$22,J29*Assumptions!$B$21,0)</f>
        <v>333.431608203055</v>
      </c>
      <c r="P29" s="27" t="n">
        <f aca="false">O29*L29*Assumptions!$B$20/12</f>
        <v>2140025.76781845</v>
      </c>
      <c r="Q29" s="26" t="n">
        <f aca="false">IF(A29&gt;=Assumptions!$B$61,(A29-Assumptions!$B$61+1)*Assumptions!$B$64,0)</f>
        <v>0.6</v>
      </c>
      <c r="R29" s="27" t="n">
        <f aca="false">Q29*Assumptions!$B$62*Assumptions!$B$63</f>
        <v>900000</v>
      </c>
      <c r="S29" s="17" t="n">
        <f aca="false">M29+N29+P29+R29</f>
        <v>20029969.1595214</v>
      </c>
      <c r="T29" s="27" t="n">
        <f aca="false">M29*Assumptions!$B$37+R29*Assumptions!$B$38</f>
        <v>4729992.0320173</v>
      </c>
      <c r="U29" s="27" t="n">
        <f aca="false">E29*Assumptions!$B$36</f>
        <v>2616844.6420211</v>
      </c>
      <c r="V29" s="27" t="n">
        <f aca="false">T29+U29</f>
        <v>7346836.6740384</v>
      </c>
      <c r="W29" s="27" t="n">
        <f aca="false">S29-V29</f>
        <v>12683132.485483</v>
      </c>
      <c r="X29" s="28" t="n">
        <f aca="false">IFERROR(W29/S29,0)</f>
        <v>0.633207789012194</v>
      </c>
      <c r="Y29" s="27" t="n">
        <f aca="false">INDEX(Assumptions!$B$68:$B$72,MATCH(B29,Assumptions!$A$68:$A$72,0))</f>
        <v>3000000</v>
      </c>
      <c r="Z29" s="27" t="n">
        <f aca="false">INDEX(Assumptions!$C$68:$C$72,MATCH(B29,Assumptions!$A$68:$A$72,0))</f>
        <v>400000</v>
      </c>
      <c r="AA29" s="27" t="n">
        <f aca="false">INDEX(Assumptions!$D$68:$D$72,MATCH(B29,Assumptions!$A$68:$A$72,0))</f>
        <v>1500000</v>
      </c>
      <c r="AB29" s="27" t="n">
        <f aca="false">INDEX(Assumptions!$E$68:$E$72,MATCH(B29,Assumptions!$A$68:$A$72,0))</f>
        <v>700000</v>
      </c>
      <c r="AC29" s="27" t="n">
        <f aca="false">MAX(0,C29-C28)*Assumptions!$B$58</f>
        <v>0</v>
      </c>
      <c r="AD29" s="27" t="n">
        <f aca="false">SUM(Y29:AC29)</f>
        <v>5600000</v>
      </c>
      <c r="AE29" s="17" t="n">
        <f aca="false">W29-AD29</f>
        <v>7083132.48548295</v>
      </c>
      <c r="AF29" s="27" t="n">
        <f aca="false">AF28+AE29</f>
        <v>47499904.3306321</v>
      </c>
    </row>
    <row r="30" customFormat="false" ht="15" hidden="false" customHeight="false" outlineLevel="0" collapsed="false">
      <c r="A30" s="25" t="n">
        <v>27</v>
      </c>
      <c r="B30" s="22" t="n">
        <f aca="false">ROUNDUP(A30/12,0)</f>
        <v>3</v>
      </c>
      <c r="C30" s="25" t="n">
        <f aca="false">COUNTIF(Assumptions!$B$51:$B$57,"&lt;="&amp;A30)</f>
        <v>4</v>
      </c>
      <c r="D30" s="26" t="n">
        <f aca="false">INDEX(Assumptions!$B$42:$B$46,MATCH(B30,Assumptions!$A$42:$A$46,0))</f>
        <v>3</v>
      </c>
      <c r="E30" s="26" t="n">
        <f aca="false">E29*(1-Assumptions!$B$33)+D30</f>
        <v>34.7292412845059</v>
      </c>
      <c r="F30" s="26" t="n">
        <f aca="false">MAX(0,E30-D30*(1-Assumptions!$B$31)-D29*(1-Assumptions!$B$32))</f>
        <v>32.1792412845059</v>
      </c>
      <c r="G30" s="26" t="n">
        <f aca="false">F30*Assumptions!$B$26</f>
        <v>193.075447707035</v>
      </c>
      <c r="H30" s="26" t="n">
        <f aca="false">K29+G30</f>
        <v>441.840233774596</v>
      </c>
      <c r="I30" s="26" t="n">
        <f aca="false">MIN(F30*Assumptions!$B$27,H30*Assumptions!$B$28)</f>
        <v>1287.16965138024</v>
      </c>
      <c r="J30" s="26" t="n">
        <f aca="false">I30*Assumptions!$B$29</f>
        <v>154.460358165628</v>
      </c>
      <c r="K30" s="26" t="n">
        <f aca="false">MAX(0,H30-J30)*(1-Assumptions!$B$30)</f>
        <v>264.389485560251</v>
      </c>
      <c r="L30" s="27" t="n">
        <f aca="false">Assumptions!$B$14*(1+Assumptions!$B$15)^((A30-1)/12)</f>
        <v>1038939.77109754</v>
      </c>
      <c r="M30" s="27" t="n">
        <f aca="false">J30*L30*Assumptions!$B$18</f>
        <v>16047500.9156242</v>
      </c>
      <c r="N30" s="27" t="n">
        <f aca="false">MAX(0,I30-J30)*Assumptions!$B$19</f>
        <v>2265418.58642921</v>
      </c>
      <c r="O30" s="26" t="n">
        <f aca="false">O29*(1-Assumptions!$B$23/12)+IF(A30&gt;=Assumptions!$B$22,J30*Assumptions!$B$21,0)</f>
        <v>369.268101009436</v>
      </c>
      <c r="P30" s="27" t="n">
        <f aca="false">O30*L30*Assumptions!$B$20/12</f>
        <v>2397795.72710229</v>
      </c>
      <c r="Q30" s="26" t="n">
        <f aca="false">IF(A30&gt;=Assumptions!$B$61,(A30-Assumptions!$B$61+1)*Assumptions!$B$64,0)</f>
        <v>0.9</v>
      </c>
      <c r="R30" s="27" t="n">
        <f aca="false">Q30*Assumptions!$B$62*Assumptions!$B$63</f>
        <v>1350000</v>
      </c>
      <c r="S30" s="17" t="n">
        <f aca="false">M30+N30+P30+R30</f>
        <v>22060715.2291557</v>
      </c>
      <c r="T30" s="27" t="n">
        <f aca="false">M30*Assumptions!$B$37+R30*Assumptions!$B$38</f>
        <v>5219250.27468725</v>
      </c>
      <c r="U30" s="27" t="n">
        <f aca="false">E30*Assumptions!$B$36</f>
        <v>2778339.30276047</v>
      </c>
      <c r="V30" s="27" t="n">
        <f aca="false">T30+U30</f>
        <v>7997589.57744772</v>
      </c>
      <c r="W30" s="27" t="n">
        <f aca="false">S30-V30</f>
        <v>14063125.6517079</v>
      </c>
      <c r="X30" s="28" t="n">
        <f aca="false">IFERROR(W30/S30,0)</f>
        <v>0.637473695010667</v>
      </c>
      <c r="Y30" s="27" t="n">
        <f aca="false">INDEX(Assumptions!$B$68:$B$72,MATCH(B30,Assumptions!$A$68:$A$72,0))</f>
        <v>3000000</v>
      </c>
      <c r="Z30" s="27" t="n">
        <f aca="false">INDEX(Assumptions!$C$68:$C$72,MATCH(B30,Assumptions!$A$68:$A$72,0))</f>
        <v>400000</v>
      </c>
      <c r="AA30" s="27" t="n">
        <f aca="false">INDEX(Assumptions!$D$68:$D$72,MATCH(B30,Assumptions!$A$68:$A$72,0))</f>
        <v>1500000</v>
      </c>
      <c r="AB30" s="27" t="n">
        <f aca="false">INDEX(Assumptions!$E$68:$E$72,MATCH(B30,Assumptions!$A$68:$A$72,0))</f>
        <v>700000</v>
      </c>
      <c r="AC30" s="27" t="n">
        <f aca="false">MAX(0,C30-C29)*Assumptions!$B$58</f>
        <v>0</v>
      </c>
      <c r="AD30" s="27" t="n">
        <f aca="false">SUM(Y30:AC30)</f>
        <v>5600000</v>
      </c>
      <c r="AE30" s="17" t="n">
        <f aca="false">W30-AD30</f>
        <v>8463125.65170795</v>
      </c>
      <c r="AF30" s="27" t="n">
        <f aca="false">AF29+AE30</f>
        <v>55963029.9823401</v>
      </c>
    </row>
    <row r="31" customFormat="false" ht="15" hidden="false" customHeight="false" outlineLevel="0" collapsed="false">
      <c r="A31" s="25" t="n">
        <v>28</v>
      </c>
      <c r="B31" s="22" t="n">
        <f aca="false">ROUNDUP(A31/12,0)</f>
        <v>3</v>
      </c>
      <c r="C31" s="25" t="n">
        <f aca="false">COUNTIF(Assumptions!$B$51:$B$57,"&lt;="&amp;A31)</f>
        <v>4</v>
      </c>
      <c r="D31" s="26" t="n">
        <f aca="false">INDEX(Assumptions!$B$42:$B$46,MATCH(B31,Assumptions!$A$42:$A$46,0))</f>
        <v>3</v>
      </c>
      <c r="E31" s="26" t="n">
        <f aca="false">E30*(1-Assumptions!$B$33)+D31</f>
        <v>36.6873640459707</v>
      </c>
      <c r="F31" s="26" t="n">
        <f aca="false">MAX(0,E31-D31*(1-Assumptions!$B$31)-D30*(1-Assumptions!$B$32))</f>
        <v>34.1373640459707</v>
      </c>
      <c r="G31" s="26" t="n">
        <f aca="false">F31*Assumptions!$B$26</f>
        <v>204.824184275824</v>
      </c>
      <c r="H31" s="26" t="n">
        <f aca="false">K30+G31</f>
        <v>469.213669836075</v>
      </c>
      <c r="I31" s="26" t="n">
        <f aca="false">MIN(F31*Assumptions!$B$27,H31*Assumptions!$B$28)</f>
        <v>1365.49456183883</v>
      </c>
      <c r="J31" s="26" t="n">
        <f aca="false">I31*Assumptions!$B$29</f>
        <v>163.859347420659</v>
      </c>
      <c r="K31" s="26" t="n">
        <f aca="false">MAX(0,H31-J31)*(1-Assumptions!$B$30)</f>
        <v>280.925976622183</v>
      </c>
      <c r="L31" s="27" t="n">
        <f aca="false">Assumptions!$B$14*(1+Assumptions!$B$15)^((A31-1)/12)</f>
        <v>1051110.86420068</v>
      </c>
      <c r="M31" s="27" t="n">
        <f aca="false">J31*L31*Assumptions!$B$18</f>
        <v>17223434.0274688</v>
      </c>
      <c r="N31" s="27" t="n">
        <f aca="false">MAX(0,I31-J31)*Assumptions!$B$19</f>
        <v>2403270.42883634</v>
      </c>
      <c r="O31" s="26" t="n">
        <f aca="false">O30*(1-Assumptions!$B$23/12)+IF(A31&gt;=Assumptions!$B$22,J31*Assumptions!$B$21,0)</f>
        <v>407.155703689522</v>
      </c>
      <c r="P31" s="27" t="n">
        <f aca="false">O31*L31*Assumptions!$B$20/12</f>
        <v>2674786.14730831</v>
      </c>
      <c r="Q31" s="26" t="n">
        <f aca="false">IF(A31&gt;=Assumptions!$B$61,(A31-Assumptions!$B$61+1)*Assumptions!$B$64,0)</f>
        <v>1.2</v>
      </c>
      <c r="R31" s="27" t="n">
        <f aca="false">Q31*Assumptions!$B$62*Assumptions!$B$63</f>
        <v>1800000</v>
      </c>
      <c r="S31" s="17" t="n">
        <f aca="false">M31+N31+P31+R31</f>
        <v>24101490.6036135</v>
      </c>
      <c r="T31" s="27" t="n">
        <f aca="false">M31*Assumptions!$B$37+R31*Assumptions!$B$38</f>
        <v>5707030.20824065</v>
      </c>
      <c r="U31" s="27" t="n">
        <f aca="false">E31*Assumptions!$B$36</f>
        <v>2934989.12367766</v>
      </c>
      <c r="V31" s="27" t="n">
        <f aca="false">T31+U31</f>
        <v>8642019.33191831</v>
      </c>
      <c r="W31" s="27" t="n">
        <f aca="false">S31-V31</f>
        <v>15459471.2716952</v>
      </c>
      <c r="X31" s="28" t="n">
        <f aca="false">IFERROR(W31/S31,0)</f>
        <v>0.641432163925055</v>
      </c>
      <c r="Y31" s="27" t="n">
        <f aca="false">INDEX(Assumptions!$B$68:$B$72,MATCH(B31,Assumptions!$A$68:$A$72,0))</f>
        <v>3000000</v>
      </c>
      <c r="Z31" s="27" t="n">
        <f aca="false">INDEX(Assumptions!$C$68:$C$72,MATCH(B31,Assumptions!$A$68:$A$72,0))</f>
        <v>400000</v>
      </c>
      <c r="AA31" s="27" t="n">
        <f aca="false">INDEX(Assumptions!$D$68:$D$72,MATCH(B31,Assumptions!$A$68:$A$72,0))</f>
        <v>1500000</v>
      </c>
      <c r="AB31" s="27" t="n">
        <f aca="false">INDEX(Assumptions!$E$68:$E$72,MATCH(B31,Assumptions!$A$68:$A$72,0))</f>
        <v>700000</v>
      </c>
      <c r="AC31" s="27" t="n">
        <f aca="false">MAX(0,C31-C30)*Assumptions!$B$58</f>
        <v>0</v>
      </c>
      <c r="AD31" s="27" t="n">
        <f aca="false">SUM(Y31:AC31)</f>
        <v>5600000</v>
      </c>
      <c r="AE31" s="17" t="n">
        <f aca="false">W31-AD31</f>
        <v>9859471.27169517</v>
      </c>
      <c r="AF31" s="27" t="n">
        <f aca="false">AF30+AE31</f>
        <v>65822501.2540353</v>
      </c>
    </row>
    <row r="32" customFormat="false" ht="15" hidden="false" customHeight="false" outlineLevel="0" collapsed="false">
      <c r="A32" s="25" t="n">
        <v>29</v>
      </c>
      <c r="B32" s="22" t="n">
        <f aca="false">ROUNDUP(A32/12,0)</f>
        <v>3</v>
      </c>
      <c r="C32" s="25" t="n">
        <f aca="false">COUNTIF(Assumptions!$B$51:$B$57,"&lt;="&amp;A32)</f>
        <v>4</v>
      </c>
      <c r="D32" s="26" t="n">
        <f aca="false">INDEX(Assumptions!$B$42:$B$46,MATCH(B32,Assumptions!$A$42:$A$46,0))</f>
        <v>3</v>
      </c>
      <c r="E32" s="26" t="n">
        <f aca="false">E31*(1-Assumptions!$B$33)+D32</f>
        <v>38.5867431245916</v>
      </c>
      <c r="F32" s="26" t="n">
        <f aca="false">MAX(0,E32-D32*(1-Assumptions!$B$31)-D31*(1-Assumptions!$B$32))</f>
        <v>36.0367431245916</v>
      </c>
      <c r="G32" s="26" t="n">
        <f aca="false">F32*Assumptions!$B$26</f>
        <v>216.220458747549</v>
      </c>
      <c r="H32" s="26" t="n">
        <f aca="false">K31+G32</f>
        <v>497.146435369732</v>
      </c>
      <c r="I32" s="26" t="n">
        <f aca="false">MIN(F32*Assumptions!$B$27,H32*Assumptions!$B$28)</f>
        <v>1441.46972498366</v>
      </c>
      <c r="J32" s="26" t="n">
        <f aca="false">I32*Assumptions!$B$29</f>
        <v>172.97636699804</v>
      </c>
      <c r="K32" s="26" t="n">
        <f aca="false">MAX(0,H32-J32)*(1-Assumptions!$B$30)</f>
        <v>298.236462901957</v>
      </c>
      <c r="L32" s="27" t="n">
        <f aca="false">Assumptions!$B$14*(1+Assumptions!$B$15)^((A32-1)/12)</f>
        <v>1063424.54064834</v>
      </c>
      <c r="M32" s="27" t="n">
        <f aca="false">J32*L32*Assumptions!$B$18</f>
        <v>18394731.361791</v>
      </c>
      <c r="N32" s="27" t="n">
        <f aca="false">MAX(0,I32-J32)*Assumptions!$B$19</f>
        <v>2536986.71597125</v>
      </c>
      <c r="O32" s="26" t="n">
        <f aca="false">O31*(1-Assumptions!$B$23/12)+IF(A32&gt;=Assumptions!$B$22,J32*Assumptions!$B$21,0)</f>
        <v>447.00683124162</v>
      </c>
      <c r="P32" s="27" t="n">
        <f aca="false">O32*L32*Assumptions!$B$20/12</f>
        <v>2970987.71362369</v>
      </c>
      <c r="Q32" s="26" t="n">
        <f aca="false">IF(A32&gt;=Assumptions!$B$61,(A32-Assumptions!$B$61+1)*Assumptions!$B$64,0)</f>
        <v>1.5</v>
      </c>
      <c r="R32" s="27" t="n">
        <f aca="false">Q32*Assumptions!$B$62*Assumptions!$B$63</f>
        <v>2250000</v>
      </c>
      <c r="S32" s="17" t="n">
        <f aca="false">M32+N32+P32+R32</f>
        <v>26152705.7913859</v>
      </c>
      <c r="T32" s="27" t="n">
        <f aca="false">M32*Assumptions!$B$37+R32*Assumptions!$B$38</f>
        <v>6193419.40853729</v>
      </c>
      <c r="U32" s="27" t="n">
        <f aca="false">E32*Assumptions!$B$36</f>
        <v>3086939.44996733</v>
      </c>
      <c r="V32" s="27" t="n">
        <f aca="false">T32+U32</f>
        <v>9280358.85850461</v>
      </c>
      <c r="W32" s="27" t="n">
        <f aca="false">S32-V32</f>
        <v>16872346.9328813</v>
      </c>
      <c r="X32" s="28" t="n">
        <f aca="false">IFERROR(W32/S32,0)</f>
        <v>0.645147277205965</v>
      </c>
      <c r="Y32" s="27" t="n">
        <f aca="false">INDEX(Assumptions!$B$68:$B$72,MATCH(B32,Assumptions!$A$68:$A$72,0))</f>
        <v>3000000</v>
      </c>
      <c r="Z32" s="27" t="n">
        <f aca="false">INDEX(Assumptions!$C$68:$C$72,MATCH(B32,Assumptions!$A$68:$A$72,0))</f>
        <v>400000</v>
      </c>
      <c r="AA32" s="27" t="n">
        <f aca="false">INDEX(Assumptions!$D$68:$D$72,MATCH(B32,Assumptions!$A$68:$A$72,0))</f>
        <v>1500000</v>
      </c>
      <c r="AB32" s="27" t="n">
        <f aca="false">INDEX(Assumptions!$E$68:$E$72,MATCH(B32,Assumptions!$A$68:$A$72,0))</f>
        <v>700000</v>
      </c>
      <c r="AC32" s="27" t="n">
        <f aca="false">MAX(0,C32-C31)*Assumptions!$B$58</f>
        <v>0</v>
      </c>
      <c r="AD32" s="27" t="n">
        <f aca="false">SUM(Y32:AC32)</f>
        <v>5600000</v>
      </c>
      <c r="AE32" s="17" t="n">
        <f aca="false">W32-AD32</f>
        <v>11272346.9328813</v>
      </c>
      <c r="AF32" s="27" t="n">
        <f aca="false">AF31+AE32</f>
        <v>77094848.1869165</v>
      </c>
    </row>
    <row r="33" customFormat="false" ht="15" hidden="false" customHeight="false" outlineLevel="0" collapsed="false">
      <c r="A33" s="25" t="n">
        <v>30</v>
      </c>
      <c r="B33" s="22" t="n">
        <f aca="false">ROUNDUP(A33/12,0)</f>
        <v>3</v>
      </c>
      <c r="C33" s="25" t="n">
        <f aca="false">COUNTIF(Assumptions!$B$51:$B$57,"&lt;="&amp;A33)</f>
        <v>4</v>
      </c>
      <c r="D33" s="26" t="n">
        <f aca="false">INDEX(Assumptions!$B$42:$B$46,MATCH(B33,Assumptions!$A$42:$A$46,0))</f>
        <v>3</v>
      </c>
      <c r="E33" s="26" t="n">
        <f aca="false">E32*(1-Assumptions!$B$33)+D33</f>
        <v>40.4291408308538</v>
      </c>
      <c r="F33" s="26" t="n">
        <f aca="false">MAX(0,E33-D33*(1-Assumptions!$B$31)-D32*(1-Assumptions!$B$32))</f>
        <v>37.8791408308538</v>
      </c>
      <c r="G33" s="26" t="n">
        <f aca="false">F33*Assumptions!$B$26</f>
        <v>227.274844985123</v>
      </c>
      <c r="H33" s="26" t="n">
        <f aca="false">K32+G33</f>
        <v>525.51130788708</v>
      </c>
      <c r="I33" s="26" t="n">
        <f aca="false">MIN(F33*Assumptions!$B$27,H33*Assumptions!$B$28)</f>
        <v>1515.16563323415</v>
      </c>
      <c r="J33" s="26" t="n">
        <f aca="false">I33*Assumptions!$B$29</f>
        <v>181.819875988098</v>
      </c>
      <c r="K33" s="26" t="n">
        <f aca="false">MAX(0,H33-J33)*(1-Assumptions!$B$30)</f>
        <v>316.196117347063</v>
      </c>
      <c r="L33" s="27" t="n">
        <f aca="false">Assumptions!$B$14*(1+Assumptions!$B$15)^((A33-1)/12)</f>
        <v>1075882.47079257</v>
      </c>
      <c r="M33" s="27" t="n">
        <f aca="false">J33*L33*Assumptions!$B$18</f>
        <v>19561681.7417274</v>
      </c>
      <c r="N33" s="27" t="n">
        <f aca="false">MAX(0,I33-J33)*Assumptions!$B$19</f>
        <v>2666691.51449211</v>
      </c>
      <c r="O33" s="26" t="n">
        <f aca="false">O32*(1-Assumptions!$B$23/12)+IF(A33&gt;=Assumptions!$B$22,J33*Assumptions!$B$21,0)</f>
        <v>488.736743311631</v>
      </c>
      <c r="P33" s="27" t="n">
        <f aca="false">O33*L33*Assumptions!$B$20/12</f>
        <v>3286395.5935077</v>
      </c>
      <c r="Q33" s="26" t="n">
        <f aca="false">IF(A33&gt;=Assumptions!$B$61,(A33-Assumptions!$B$61+1)*Assumptions!$B$64,0)</f>
        <v>1.8</v>
      </c>
      <c r="R33" s="27" t="n">
        <f aca="false">Q33*Assumptions!$B$62*Assumptions!$B$63</f>
        <v>2700000</v>
      </c>
      <c r="S33" s="17" t="n">
        <f aca="false">M33+N33+P33+R33</f>
        <v>28214768.8497273</v>
      </c>
      <c r="T33" s="27" t="n">
        <f aca="false">M33*Assumptions!$B$37+R33*Assumptions!$B$38</f>
        <v>6678504.52251823</v>
      </c>
      <c r="U33" s="27" t="n">
        <f aca="false">E33*Assumptions!$B$36</f>
        <v>3234331.26646831</v>
      </c>
      <c r="V33" s="27" t="n">
        <f aca="false">T33+U33</f>
        <v>9912835.78898654</v>
      </c>
      <c r="W33" s="27" t="n">
        <f aca="false">S33-V33</f>
        <v>18301933.0607407</v>
      </c>
      <c r="X33" s="28" t="n">
        <f aca="false">IFERROR(W33/S33,0)</f>
        <v>0.64866500088012</v>
      </c>
      <c r="Y33" s="27" t="n">
        <f aca="false">INDEX(Assumptions!$B$68:$B$72,MATCH(B33,Assumptions!$A$68:$A$72,0))</f>
        <v>3000000</v>
      </c>
      <c r="Z33" s="27" t="n">
        <f aca="false">INDEX(Assumptions!$C$68:$C$72,MATCH(B33,Assumptions!$A$68:$A$72,0))</f>
        <v>400000</v>
      </c>
      <c r="AA33" s="27" t="n">
        <f aca="false">INDEX(Assumptions!$D$68:$D$72,MATCH(B33,Assumptions!$A$68:$A$72,0))</f>
        <v>1500000</v>
      </c>
      <c r="AB33" s="27" t="n">
        <f aca="false">INDEX(Assumptions!$E$68:$E$72,MATCH(B33,Assumptions!$A$68:$A$72,0))</f>
        <v>700000</v>
      </c>
      <c r="AC33" s="27" t="n">
        <f aca="false">MAX(0,C33-C32)*Assumptions!$B$58</f>
        <v>0</v>
      </c>
      <c r="AD33" s="27" t="n">
        <f aca="false">SUM(Y33:AC33)</f>
        <v>5600000</v>
      </c>
      <c r="AE33" s="17" t="n">
        <f aca="false">W33-AD33</f>
        <v>12701933.0607407</v>
      </c>
      <c r="AF33" s="27" t="n">
        <f aca="false">AF32+AE33</f>
        <v>89796781.2476572</v>
      </c>
    </row>
    <row r="34" customFormat="false" ht="15" hidden="false" customHeight="false" outlineLevel="0" collapsed="false">
      <c r="A34" s="25" t="n">
        <v>31</v>
      </c>
      <c r="B34" s="22" t="n">
        <f aca="false">ROUNDUP(A34/12,0)</f>
        <v>3</v>
      </c>
      <c r="C34" s="25" t="n">
        <f aca="false">COUNTIF(Assumptions!$B$51:$B$57,"&lt;="&amp;A34)</f>
        <v>5</v>
      </c>
      <c r="D34" s="26" t="n">
        <f aca="false">INDEX(Assumptions!$B$42:$B$46,MATCH(B34,Assumptions!$A$42:$A$46,0))</f>
        <v>3</v>
      </c>
      <c r="E34" s="26" t="n">
        <f aca="false">E33*(1-Assumptions!$B$33)+D34</f>
        <v>42.2162666059282</v>
      </c>
      <c r="F34" s="26" t="n">
        <f aca="false">MAX(0,E34-D34*(1-Assumptions!$B$31)-D33*(1-Assumptions!$B$32))</f>
        <v>39.6662666059282</v>
      </c>
      <c r="G34" s="26" t="n">
        <f aca="false">F34*Assumptions!$B$26</f>
        <v>237.997599635569</v>
      </c>
      <c r="H34" s="26" t="n">
        <f aca="false">K33+G34</f>
        <v>554.193716982632</v>
      </c>
      <c r="I34" s="26" t="n">
        <f aca="false">MIN(F34*Assumptions!$B$27,H34*Assumptions!$B$28)</f>
        <v>1586.65066423713</v>
      </c>
      <c r="J34" s="26" t="n">
        <f aca="false">I34*Assumptions!$B$29</f>
        <v>190.398079708455</v>
      </c>
      <c r="K34" s="26" t="n">
        <f aca="false">MAX(0,H34-J34)*(1-Assumptions!$B$30)</f>
        <v>334.691986292243</v>
      </c>
      <c r="L34" s="27" t="n">
        <f aca="false">Assumptions!$B$14*(1+Assumptions!$B$15)^((A34-1)/12)</f>
        <v>1088486.34455343</v>
      </c>
      <c r="M34" s="27" t="n">
        <f aca="false">J34*L34*Assumptions!$B$18</f>
        <v>20724570.979185</v>
      </c>
      <c r="N34" s="27" t="n">
        <f aca="false">MAX(0,I34-J34)*Assumptions!$B$19</f>
        <v>2792505.16905735</v>
      </c>
      <c r="O34" s="26" t="n">
        <f aca="false">O33*(1-Assumptions!$B$23/12)+IF(A34&gt;=Assumptions!$B$22,J34*Assumptions!$B$21,0)</f>
        <v>532.263457044481</v>
      </c>
      <c r="P34" s="27" t="n">
        <f aca="false">O34*L34*Assumptions!$B$20/12</f>
        <v>3621009.40436075</v>
      </c>
      <c r="Q34" s="26" t="n">
        <f aca="false">IF(A34&gt;=Assumptions!$B$61,(A34-Assumptions!$B$61+1)*Assumptions!$B$64,0)</f>
        <v>2.1</v>
      </c>
      <c r="R34" s="27" t="n">
        <f aca="false">Q34*Assumptions!$B$62*Assumptions!$B$63</f>
        <v>3150000</v>
      </c>
      <c r="S34" s="17" t="n">
        <f aca="false">M34+N34+P34+R34</f>
        <v>30288085.5526031</v>
      </c>
      <c r="T34" s="27" t="n">
        <f aca="false">M34*Assumptions!$B$37+R34*Assumptions!$B$38</f>
        <v>7162371.2937555</v>
      </c>
      <c r="U34" s="27" t="n">
        <f aca="false">E34*Assumptions!$B$36</f>
        <v>3377301.32847426</v>
      </c>
      <c r="V34" s="27" t="n">
        <f aca="false">T34+U34</f>
        <v>10539672.6222298</v>
      </c>
      <c r="W34" s="27" t="n">
        <f aca="false">S34-V34</f>
        <v>19748412.9303733</v>
      </c>
      <c r="X34" s="28" t="n">
        <f aca="false">IFERROR(W34/S34,0)</f>
        <v>0.652019187415299</v>
      </c>
      <c r="Y34" s="27" t="n">
        <f aca="false">INDEX(Assumptions!$B$68:$B$72,MATCH(B34,Assumptions!$A$68:$A$72,0))</f>
        <v>3000000</v>
      </c>
      <c r="Z34" s="27" t="n">
        <f aca="false">INDEX(Assumptions!$C$68:$C$72,MATCH(B34,Assumptions!$A$68:$A$72,0))</f>
        <v>400000</v>
      </c>
      <c r="AA34" s="27" t="n">
        <f aca="false">INDEX(Assumptions!$D$68:$D$72,MATCH(B34,Assumptions!$A$68:$A$72,0))</f>
        <v>1500000</v>
      </c>
      <c r="AB34" s="27" t="n">
        <f aca="false">INDEX(Assumptions!$E$68:$E$72,MATCH(B34,Assumptions!$A$68:$A$72,0))</f>
        <v>700000</v>
      </c>
      <c r="AC34" s="27" t="n">
        <f aca="false">MAX(0,C34-C33)*Assumptions!$B$58</f>
        <v>1500000</v>
      </c>
      <c r="AD34" s="27" t="n">
        <f aca="false">SUM(Y34:AC34)</f>
        <v>7100000</v>
      </c>
      <c r="AE34" s="17" t="n">
        <f aca="false">W34-AD34</f>
        <v>12648412.9303733</v>
      </c>
      <c r="AF34" s="27" t="n">
        <f aca="false">AF33+AE34</f>
        <v>102445194.178031</v>
      </c>
    </row>
    <row r="35" customFormat="false" ht="15" hidden="false" customHeight="false" outlineLevel="0" collapsed="false">
      <c r="A35" s="25" t="n">
        <v>32</v>
      </c>
      <c r="B35" s="22" t="n">
        <f aca="false">ROUNDUP(A35/12,0)</f>
        <v>3</v>
      </c>
      <c r="C35" s="25" t="n">
        <f aca="false">COUNTIF(Assumptions!$B$51:$B$57,"&lt;="&amp;A35)</f>
        <v>5</v>
      </c>
      <c r="D35" s="26" t="n">
        <f aca="false">INDEX(Assumptions!$B$42:$B$46,MATCH(B35,Assumptions!$A$42:$A$46,0))</f>
        <v>3</v>
      </c>
      <c r="E35" s="26" t="n">
        <f aca="false">E34*(1-Assumptions!$B$33)+D35</f>
        <v>43.9497786077504</v>
      </c>
      <c r="F35" s="26" t="n">
        <f aca="false">MAX(0,E35-D35*(1-Assumptions!$B$31)-D34*(1-Assumptions!$B$32))</f>
        <v>41.3997786077504</v>
      </c>
      <c r="G35" s="26" t="n">
        <f aca="false">F35*Assumptions!$B$26</f>
        <v>248.398671646502</v>
      </c>
      <c r="H35" s="26" t="n">
        <f aca="false">K34+G35</f>
        <v>583.090657938745</v>
      </c>
      <c r="I35" s="26" t="n">
        <f aca="false">MIN(F35*Assumptions!$B$27,H35*Assumptions!$B$28)</f>
        <v>1655.99114431001</v>
      </c>
      <c r="J35" s="26" t="n">
        <f aca="false">I35*Assumptions!$B$29</f>
        <v>198.718937317202</v>
      </c>
      <c r="K35" s="26" t="n">
        <f aca="false">MAX(0,H35-J35)*(1-Assumptions!$B$30)</f>
        <v>353.62198297182</v>
      </c>
      <c r="L35" s="27" t="n">
        <f aca="false">Assumptions!$B$14*(1+Assumptions!$B$15)^((A35-1)/12)</f>
        <v>1101237.87164827</v>
      </c>
      <c r="M35" s="27" t="n">
        <f aca="false">J35*L35*Assumptions!$B$18</f>
        <v>21883681.9587402</v>
      </c>
      <c r="N35" s="27" t="n">
        <f aca="false">MAX(0,I35-J35)*Assumptions!$B$19</f>
        <v>2914544.41398563</v>
      </c>
      <c r="O35" s="26" t="n">
        <f aca="false">O34*(1-Assumptions!$B$23/12)+IF(A35&gt;=Assumptions!$B$22,J35*Assumptions!$B$21,0)</f>
        <v>577.507662565077</v>
      </c>
      <c r="P35" s="27" t="n">
        <f aca="false">O35*L35*Assumptions!$B$20/12</f>
        <v>3974833.18239834</v>
      </c>
      <c r="Q35" s="26" t="n">
        <f aca="false">IF(A35&gt;=Assumptions!$B$61,(A35-Assumptions!$B$61+1)*Assumptions!$B$64,0)</f>
        <v>2.4</v>
      </c>
      <c r="R35" s="27" t="n">
        <f aca="false">Q35*Assumptions!$B$62*Assumptions!$B$63</f>
        <v>3600000</v>
      </c>
      <c r="S35" s="17" t="n">
        <f aca="false">M35+N35+P35+R35</f>
        <v>32373059.5551241</v>
      </c>
      <c r="T35" s="27" t="n">
        <f aca="false">M35*Assumptions!$B$37+R35*Assumptions!$B$38</f>
        <v>7645104.58762205</v>
      </c>
      <c r="U35" s="27" t="n">
        <f aca="false">E35*Assumptions!$B$36</f>
        <v>3515982.28862003</v>
      </c>
      <c r="V35" s="27" t="n">
        <f aca="false">T35+U35</f>
        <v>11161086.8762421</v>
      </c>
      <c r="W35" s="27" t="n">
        <f aca="false">S35-V35</f>
        <v>21211972.6788821</v>
      </c>
      <c r="X35" s="28" t="n">
        <f aca="false">IFERROR(W35/S35,0)</f>
        <v>0.655235339828254</v>
      </c>
      <c r="Y35" s="27" t="n">
        <f aca="false">INDEX(Assumptions!$B$68:$B$72,MATCH(B35,Assumptions!$A$68:$A$72,0))</f>
        <v>3000000</v>
      </c>
      <c r="Z35" s="27" t="n">
        <f aca="false">INDEX(Assumptions!$C$68:$C$72,MATCH(B35,Assumptions!$A$68:$A$72,0))</f>
        <v>400000</v>
      </c>
      <c r="AA35" s="27" t="n">
        <f aca="false">INDEX(Assumptions!$D$68:$D$72,MATCH(B35,Assumptions!$A$68:$A$72,0))</f>
        <v>1500000</v>
      </c>
      <c r="AB35" s="27" t="n">
        <f aca="false">INDEX(Assumptions!$E$68:$E$72,MATCH(B35,Assumptions!$A$68:$A$72,0))</f>
        <v>700000</v>
      </c>
      <c r="AC35" s="27" t="n">
        <f aca="false">MAX(0,C35-C34)*Assumptions!$B$58</f>
        <v>0</v>
      </c>
      <c r="AD35" s="27" t="n">
        <f aca="false">SUM(Y35:AC35)</f>
        <v>5600000</v>
      </c>
      <c r="AE35" s="17" t="n">
        <f aca="false">W35-AD35</f>
        <v>15611972.6788821</v>
      </c>
      <c r="AF35" s="27" t="n">
        <f aca="false">AF34+AE35</f>
        <v>118057166.856913</v>
      </c>
    </row>
    <row r="36" customFormat="false" ht="15" hidden="false" customHeight="false" outlineLevel="0" collapsed="false">
      <c r="A36" s="25" t="n">
        <v>33</v>
      </c>
      <c r="B36" s="22" t="n">
        <f aca="false">ROUNDUP(A36/12,0)</f>
        <v>3</v>
      </c>
      <c r="C36" s="25" t="n">
        <f aca="false">COUNTIF(Assumptions!$B$51:$B$57,"&lt;="&amp;A36)</f>
        <v>5</v>
      </c>
      <c r="D36" s="26" t="n">
        <f aca="false">INDEX(Assumptions!$B$42:$B$46,MATCH(B36,Assumptions!$A$42:$A$46,0))</f>
        <v>3</v>
      </c>
      <c r="E36" s="26" t="n">
        <f aca="false">E35*(1-Assumptions!$B$33)+D36</f>
        <v>45.6312852495179</v>
      </c>
      <c r="F36" s="26" t="n">
        <f aca="false">MAX(0,E36-D36*(1-Assumptions!$B$31)-D35*(1-Assumptions!$B$32))</f>
        <v>43.0812852495179</v>
      </c>
      <c r="G36" s="26" t="n">
        <f aca="false">F36*Assumptions!$B$26</f>
        <v>258.487711497107</v>
      </c>
      <c r="H36" s="26" t="n">
        <f aca="false">K35+G36</f>
        <v>612.109694468927</v>
      </c>
      <c r="I36" s="26" t="n">
        <f aca="false">MIN(F36*Assumptions!$B$27,H36*Assumptions!$B$28)</f>
        <v>1723.25140998071</v>
      </c>
      <c r="J36" s="26" t="n">
        <f aca="false">I36*Assumptions!$B$29</f>
        <v>206.790169197686</v>
      </c>
      <c r="K36" s="26" t="n">
        <f aca="false">MAX(0,H36-J36)*(1-Assumptions!$B$30)</f>
        <v>372.893963249542</v>
      </c>
      <c r="L36" s="27" t="n">
        <f aca="false">Assumptions!$B$14*(1+Assumptions!$B$15)^((A36-1)/12)</f>
        <v>1114138.78182363</v>
      </c>
      <c r="M36" s="27" t="n">
        <f aca="false">J36*L36*Assumptions!$B$18</f>
        <v>23039294.7203011</v>
      </c>
      <c r="N36" s="27" t="n">
        <f aca="false">MAX(0,I36-J36)*Assumptions!$B$19</f>
        <v>3032922.48156606</v>
      </c>
      <c r="O36" s="26" t="n">
        <f aca="false">O35*(1-Assumptions!$B$23/12)+IF(A36&gt;=Assumptions!$B$22,J36*Assumptions!$B$21,0)</f>
        <v>624.39264100979</v>
      </c>
      <c r="P36" s="27" t="n">
        <f aca="false">O36*L36*Assumptions!$B$20/12</f>
        <v>4347875.35271428</v>
      </c>
      <c r="Q36" s="26" t="n">
        <f aca="false">IF(A36&gt;=Assumptions!$B$61,(A36-Assumptions!$B$61+1)*Assumptions!$B$64,0)</f>
        <v>2.7</v>
      </c>
      <c r="R36" s="27" t="n">
        <f aca="false">Q36*Assumptions!$B$62*Assumptions!$B$63</f>
        <v>4050000</v>
      </c>
      <c r="S36" s="17" t="n">
        <f aca="false">M36+N36+P36+R36</f>
        <v>34470092.5545815</v>
      </c>
      <c r="T36" s="27" t="n">
        <f aca="false">M36*Assumptions!$B$37+R36*Assumptions!$B$38</f>
        <v>8126788.41609034</v>
      </c>
      <c r="U36" s="27" t="n">
        <f aca="false">E36*Assumptions!$B$36</f>
        <v>3650502.81996143</v>
      </c>
      <c r="V36" s="27" t="n">
        <f aca="false">T36+U36</f>
        <v>11777291.2360518</v>
      </c>
      <c r="W36" s="27" t="n">
        <f aca="false">S36-V36</f>
        <v>22692801.3185297</v>
      </c>
      <c r="X36" s="28" t="n">
        <f aca="false">IFERROR(W36/S36,0)</f>
        <v>0.658333054447038</v>
      </c>
      <c r="Y36" s="27" t="n">
        <f aca="false">INDEX(Assumptions!$B$68:$B$72,MATCH(B36,Assumptions!$A$68:$A$72,0))</f>
        <v>3000000</v>
      </c>
      <c r="Z36" s="27" t="n">
        <f aca="false">INDEX(Assumptions!$C$68:$C$72,MATCH(B36,Assumptions!$A$68:$A$72,0))</f>
        <v>400000</v>
      </c>
      <c r="AA36" s="27" t="n">
        <f aca="false">INDEX(Assumptions!$D$68:$D$72,MATCH(B36,Assumptions!$A$68:$A$72,0))</f>
        <v>1500000</v>
      </c>
      <c r="AB36" s="27" t="n">
        <f aca="false">INDEX(Assumptions!$E$68:$E$72,MATCH(B36,Assumptions!$A$68:$A$72,0))</f>
        <v>700000</v>
      </c>
      <c r="AC36" s="27" t="n">
        <f aca="false">MAX(0,C36-C35)*Assumptions!$B$58</f>
        <v>0</v>
      </c>
      <c r="AD36" s="27" t="n">
        <f aca="false">SUM(Y36:AC36)</f>
        <v>5600000</v>
      </c>
      <c r="AE36" s="17" t="n">
        <f aca="false">W36-AD36</f>
        <v>17092801.3185297</v>
      </c>
      <c r="AF36" s="27" t="n">
        <f aca="false">AF35+AE36</f>
        <v>135149968.175442</v>
      </c>
    </row>
    <row r="37" customFormat="false" ht="15" hidden="false" customHeight="false" outlineLevel="0" collapsed="false">
      <c r="A37" s="25" t="n">
        <v>34</v>
      </c>
      <c r="B37" s="22" t="n">
        <f aca="false">ROUNDUP(A37/12,0)</f>
        <v>3</v>
      </c>
      <c r="C37" s="25" t="n">
        <f aca="false">COUNTIF(Assumptions!$B$51:$B$57,"&lt;="&amp;A37)</f>
        <v>5</v>
      </c>
      <c r="D37" s="26" t="n">
        <f aca="false">INDEX(Assumptions!$B$42:$B$46,MATCH(B37,Assumptions!$A$42:$A$46,0))</f>
        <v>3</v>
      </c>
      <c r="E37" s="26" t="n">
        <f aca="false">E36*(1-Assumptions!$B$33)+D37</f>
        <v>47.2623466920323</v>
      </c>
      <c r="F37" s="26" t="n">
        <f aca="false">MAX(0,E37-D37*(1-Assumptions!$B$31)-D36*(1-Assumptions!$B$32))</f>
        <v>44.7123466920323</v>
      </c>
      <c r="G37" s="26" t="n">
        <f aca="false">F37*Assumptions!$B$26</f>
        <v>268.274080152194</v>
      </c>
      <c r="H37" s="26" t="n">
        <f aca="false">K36+G37</f>
        <v>641.168043401736</v>
      </c>
      <c r="I37" s="26" t="n">
        <f aca="false">MIN(F37*Assumptions!$B$27,H37*Assumptions!$B$28)</f>
        <v>1788.49386768129</v>
      </c>
      <c r="J37" s="26" t="n">
        <f aca="false">I37*Assumptions!$B$29</f>
        <v>214.619264121755</v>
      </c>
      <c r="K37" s="26" t="n">
        <f aca="false">MAX(0,H37-J37)*(1-Assumptions!$B$30)</f>
        <v>392.424876937582</v>
      </c>
      <c r="L37" s="27" t="n">
        <f aca="false">Assumptions!$B$14*(1+Assumptions!$B$15)^((A37-1)/12)</f>
        <v>1127190.82508988</v>
      </c>
      <c r="M37" s="27" t="n">
        <f aca="false">J37*L37*Assumptions!$B$18</f>
        <v>24191686.5405584</v>
      </c>
      <c r="N37" s="27" t="n">
        <f aca="false">MAX(0,I37-J37)*Assumptions!$B$19</f>
        <v>3147749.20711908</v>
      </c>
      <c r="O37" s="26" t="n">
        <f aca="false">O36*(1-Assumptions!$B$23/12)+IF(A37&gt;=Assumptions!$B$22,J37*Assumptions!$B$21,0)</f>
        <v>672.844185031814</v>
      </c>
      <c r="P37" s="27" t="n">
        <f aca="false">O37*L37*Assumptions!$B$20/12</f>
        <v>4740148.70051835</v>
      </c>
      <c r="Q37" s="26" t="n">
        <f aca="false">IF(A37&gt;=Assumptions!$B$61,(A37-Assumptions!$B$61+1)*Assumptions!$B$64,0)</f>
        <v>3</v>
      </c>
      <c r="R37" s="27" t="n">
        <f aca="false">Q37*Assumptions!$B$62*Assumptions!$B$63</f>
        <v>4500000</v>
      </c>
      <c r="S37" s="17" t="n">
        <f aca="false">M37+N37+P37+R37</f>
        <v>36579584.4481958</v>
      </c>
      <c r="T37" s="27" t="n">
        <f aca="false">M37*Assumptions!$B$37+R37*Assumptions!$B$38</f>
        <v>8607505.96216751</v>
      </c>
      <c r="U37" s="27" t="n">
        <f aca="false">E37*Assumptions!$B$36</f>
        <v>3780987.73536259</v>
      </c>
      <c r="V37" s="27" t="n">
        <f aca="false">T37+U37</f>
        <v>12388493.6975301</v>
      </c>
      <c r="W37" s="27" t="n">
        <f aca="false">S37-V37</f>
        <v>24191090.7506657</v>
      </c>
      <c r="X37" s="28" t="n">
        <f aca="false">IFERROR(W37/S37,0)</f>
        <v>0.661327653541971</v>
      </c>
      <c r="Y37" s="27" t="n">
        <f aca="false">INDEX(Assumptions!$B$68:$B$72,MATCH(B37,Assumptions!$A$68:$A$72,0))</f>
        <v>3000000</v>
      </c>
      <c r="Z37" s="27" t="n">
        <f aca="false">INDEX(Assumptions!$C$68:$C$72,MATCH(B37,Assumptions!$A$68:$A$72,0))</f>
        <v>400000</v>
      </c>
      <c r="AA37" s="27" t="n">
        <f aca="false">INDEX(Assumptions!$D$68:$D$72,MATCH(B37,Assumptions!$A$68:$A$72,0))</f>
        <v>1500000</v>
      </c>
      <c r="AB37" s="27" t="n">
        <f aca="false">INDEX(Assumptions!$E$68:$E$72,MATCH(B37,Assumptions!$A$68:$A$72,0))</f>
        <v>700000</v>
      </c>
      <c r="AC37" s="27" t="n">
        <f aca="false">MAX(0,C37-C36)*Assumptions!$B$58</f>
        <v>0</v>
      </c>
      <c r="AD37" s="27" t="n">
        <f aca="false">SUM(Y37:AC37)</f>
        <v>5600000</v>
      </c>
      <c r="AE37" s="17" t="n">
        <f aca="false">W37-AD37</f>
        <v>18591090.7506657</v>
      </c>
      <c r="AF37" s="27" t="n">
        <f aca="false">AF36+AE37</f>
        <v>153741058.926108</v>
      </c>
    </row>
    <row r="38" customFormat="false" ht="15" hidden="false" customHeight="false" outlineLevel="0" collapsed="false">
      <c r="A38" s="25" t="n">
        <v>35</v>
      </c>
      <c r="B38" s="22" t="n">
        <f aca="false">ROUNDUP(A38/12,0)</f>
        <v>3</v>
      </c>
      <c r="C38" s="25" t="n">
        <f aca="false">COUNTIF(Assumptions!$B$51:$B$57,"&lt;="&amp;A38)</f>
        <v>5</v>
      </c>
      <c r="D38" s="26" t="n">
        <f aca="false">INDEX(Assumptions!$B$42:$B$46,MATCH(B38,Assumptions!$A$42:$A$46,0))</f>
        <v>3</v>
      </c>
      <c r="E38" s="26" t="n">
        <f aca="false">E37*(1-Assumptions!$B$33)+D38</f>
        <v>48.8444762912714</v>
      </c>
      <c r="F38" s="26" t="n">
        <f aca="false">MAX(0,E38-D38*(1-Assumptions!$B$31)-D37*(1-Assumptions!$B$32))</f>
        <v>46.2944762912714</v>
      </c>
      <c r="G38" s="26" t="n">
        <f aca="false">F38*Assumptions!$B$26</f>
        <v>277.766857747628</v>
      </c>
      <c r="H38" s="26" t="n">
        <f aca="false">K37+G38</f>
        <v>670.191734685211</v>
      </c>
      <c r="I38" s="26" t="n">
        <f aca="false">MIN(F38*Assumptions!$B$27,H38*Assumptions!$B$28)</f>
        <v>1851.77905165085</v>
      </c>
      <c r="J38" s="26" t="n">
        <f aca="false">I38*Assumptions!$B$29</f>
        <v>222.213486198103</v>
      </c>
      <c r="K38" s="26" t="n">
        <f aca="false">MAX(0,H38-J38)*(1-Assumptions!$B$30)</f>
        <v>412.139988608139</v>
      </c>
      <c r="L38" s="27" t="n">
        <f aca="false">Assumptions!$B$14*(1+Assumptions!$B$15)^((A38-1)/12)</f>
        <v>1140395.77195863</v>
      </c>
      <c r="M38" s="27" t="n">
        <f aca="false">J38*L38*Assumptions!$B$18</f>
        <v>25341132.0132503</v>
      </c>
      <c r="N38" s="27" t="n">
        <f aca="false">MAX(0,I38-J38)*Assumptions!$B$19</f>
        <v>3259131.1309055</v>
      </c>
      <c r="O38" s="26" t="n">
        <f aca="false">O37*(1-Assumptions!$B$23/12)+IF(A38&gt;=Assumptions!$B$22,J38*Assumptions!$B$21,0)</f>
        <v>722.790521706074</v>
      </c>
      <c r="P38" s="27" t="n">
        <f aca="false">O38*L38*Assumptions!$B$20/12</f>
        <v>5151670.34353361</v>
      </c>
      <c r="Q38" s="26" t="n">
        <f aca="false">IF(A38&gt;=Assumptions!$B$61,(A38-Assumptions!$B$61+1)*Assumptions!$B$64,0)</f>
        <v>3.3</v>
      </c>
      <c r="R38" s="27" t="n">
        <f aca="false">Q38*Assumptions!$B$62*Assumptions!$B$63</f>
        <v>4950000</v>
      </c>
      <c r="S38" s="17" t="n">
        <f aca="false">M38+N38+P38+R38</f>
        <v>38701933.4876894</v>
      </c>
      <c r="T38" s="27" t="n">
        <f aca="false">M38*Assumptions!$B$37+R38*Assumptions!$B$38</f>
        <v>9087339.60397508</v>
      </c>
      <c r="U38" s="27" t="n">
        <f aca="false">E38*Assumptions!$B$36</f>
        <v>3907558.10330171</v>
      </c>
      <c r="V38" s="27" t="n">
        <f aca="false">T38+U38</f>
        <v>12994897.7072768</v>
      </c>
      <c r="W38" s="27" t="n">
        <f aca="false">S38-V38</f>
        <v>25707035.7804126</v>
      </c>
      <c r="X38" s="28" t="n">
        <f aca="false">IFERROR(W38/S38,0)</f>
        <v>0.66423130484139</v>
      </c>
      <c r="Y38" s="27" t="n">
        <f aca="false">INDEX(Assumptions!$B$68:$B$72,MATCH(B38,Assumptions!$A$68:$A$72,0))</f>
        <v>3000000</v>
      </c>
      <c r="Z38" s="27" t="n">
        <f aca="false">INDEX(Assumptions!$C$68:$C$72,MATCH(B38,Assumptions!$A$68:$A$72,0))</f>
        <v>400000</v>
      </c>
      <c r="AA38" s="27" t="n">
        <f aca="false">INDEX(Assumptions!$D$68:$D$72,MATCH(B38,Assumptions!$A$68:$A$72,0))</f>
        <v>1500000</v>
      </c>
      <c r="AB38" s="27" t="n">
        <f aca="false">INDEX(Assumptions!$E$68:$E$72,MATCH(B38,Assumptions!$A$68:$A$72,0))</f>
        <v>700000</v>
      </c>
      <c r="AC38" s="27" t="n">
        <f aca="false">MAX(0,C38-C37)*Assumptions!$B$58</f>
        <v>0</v>
      </c>
      <c r="AD38" s="27" t="n">
        <f aca="false">SUM(Y38:AC38)</f>
        <v>5600000</v>
      </c>
      <c r="AE38" s="17" t="n">
        <f aca="false">W38-AD38</f>
        <v>20107035.7804126</v>
      </c>
      <c r="AF38" s="27" t="n">
        <f aca="false">AF37+AE38</f>
        <v>173848094.706521</v>
      </c>
    </row>
    <row r="39" customFormat="false" ht="15" hidden="false" customHeight="false" outlineLevel="0" collapsed="false">
      <c r="A39" s="29" t="n">
        <v>36</v>
      </c>
      <c r="B39" s="30" t="n">
        <f aca="false">ROUNDUP(A39/12,0)</f>
        <v>3</v>
      </c>
      <c r="C39" s="29" t="n">
        <f aca="false">COUNTIF(Assumptions!$B$51:$B$57,"&lt;="&amp;A39)</f>
        <v>5</v>
      </c>
      <c r="D39" s="31" t="n">
        <f aca="false">INDEX(Assumptions!$B$42:$B$46,MATCH(B39,Assumptions!$A$42:$A$46,0))</f>
        <v>3</v>
      </c>
      <c r="E39" s="31" t="n">
        <f aca="false">E38*(1-Assumptions!$B$33)+D39</f>
        <v>50.3791420025332</v>
      </c>
      <c r="F39" s="31" t="n">
        <f aca="false">MAX(0,E39-D39*(1-Assumptions!$B$31)-D38*(1-Assumptions!$B$32))</f>
        <v>47.8291420025332</v>
      </c>
      <c r="G39" s="31" t="n">
        <f aca="false">F39*Assumptions!$B$26</f>
        <v>286.974852015199</v>
      </c>
      <c r="H39" s="31" t="n">
        <f aca="false">K38+G39</f>
        <v>699.114840623339</v>
      </c>
      <c r="I39" s="31" t="n">
        <f aca="false">MIN(F39*Assumptions!$B$27,H39*Assumptions!$B$28)</f>
        <v>1913.16568010133</v>
      </c>
      <c r="J39" s="31" t="n">
        <f aca="false">I39*Assumptions!$B$29</f>
        <v>229.579881612159</v>
      </c>
      <c r="K39" s="31" t="n">
        <f aca="false">MAX(0,H39-J39)*(1-Assumptions!$B$30)</f>
        <v>431.972162290285</v>
      </c>
      <c r="L39" s="32" t="n">
        <f aca="false">Assumptions!$B$14*(1+Assumptions!$B$15)^((A39-1)/12)</f>
        <v>1153755.41368287</v>
      </c>
      <c r="M39" s="32" t="n">
        <f aca="false">J39*L39*Assumptions!$B$18</f>
        <v>26487903.1282702</v>
      </c>
      <c r="N39" s="32" t="n">
        <f aca="false">MAX(0,I39-J39)*Assumptions!$B$19</f>
        <v>3367171.59697834</v>
      </c>
      <c r="O39" s="31" t="n">
        <f aca="false">O38*(1-Assumptions!$B$23/12)+IF(A39&gt;=Assumptions!$B$22,J39*Assumptions!$B$21,0)</f>
        <v>774.162237761564</v>
      </c>
      <c r="P39" s="32" t="n">
        <f aca="false">O39*L39*Assumptions!$B$20/12</f>
        <v>5582461.70553908</v>
      </c>
      <c r="Q39" s="31" t="n">
        <f aca="false">IF(A39&gt;=Assumptions!$B$61,(A39-Assumptions!$B$61+1)*Assumptions!$B$64,0)</f>
        <v>3.6</v>
      </c>
      <c r="R39" s="32" t="n">
        <f aca="false">Q39*Assumptions!$B$62*Assumptions!$B$63</f>
        <v>5400000</v>
      </c>
      <c r="S39" s="33" t="n">
        <f aca="false">M39+N39+P39+R39</f>
        <v>40837536.4307876</v>
      </c>
      <c r="T39" s="32" t="n">
        <f aca="false">M39*Assumptions!$B$37+R39*Assumptions!$B$38</f>
        <v>9566370.93848107</v>
      </c>
      <c r="U39" s="32" t="n">
        <f aca="false">E39*Assumptions!$B$36</f>
        <v>4030331.36020266</v>
      </c>
      <c r="V39" s="32" t="n">
        <f aca="false">T39+U39</f>
        <v>13596702.2986837</v>
      </c>
      <c r="W39" s="32" t="n">
        <f aca="false">S39-V39</f>
        <v>27240834.1321039</v>
      </c>
      <c r="X39" s="34" t="n">
        <f aca="false">IFERROR(W39/S39,0)</f>
        <v>0.667053806692583</v>
      </c>
      <c r="Y39" s="32" t="n">
        <f aca="false">INDEX(Assumptions!$B$68:$B$72,MATCH(B39,Assumptions!$A$68:$A$72,0))</f>
        <v>3000000</v>
      </c>
      <c r="Z39" s="32" t="n">
        <f aca="false">INDEX(Assumptions!$C$68:$C$72,MATCH(B39,Assumptions!$A$68:$A$72,0))</f>
        <v>400000</v>
      </c>
      <c r="AA39" s="32" t="n">
        <f aca="false">INDEX(Assumptions!$D$68:$D$72,MATCH(B39,Assumptions!$A$68:$A$72,0))</f>
        <v>1500000</v>
      </c>
      <c r="AB39" s="32" t="n">
        <f aca="false">INDEX(Assumptions!$E$68:$E$72,MATCH(B39,Assumptions!$A$68:$A$72,0))</f>
        <v>700000</v>
      </c>
      <c r="AC39" s="32" t="n">
        <f aca="false">MAX(0,C39-C38)*Assumptions!$B$58</f>
        <v>0</v>
      </c>
      <c r="AD39" s="32" t="n">
        <f aca="false">SUM(Y39:AC39)</f>
        <v>5600000</v>
      </c>
      <c r="AE39" s="33" t="n">
        <f aca="false">W39-AD39</f>
        <v>21640834.1321039</v>
      </c>
      <c r="AF39" s="32" t="n">
        <f aca="false">AF38+AE39</f>
        <v>195488928.838625</v>
      </c>
    </row>
    <row r="40" customFormat="false" ht="15" hidden="false" customHeight="false" outlineLevel="0" collapsed="false">
      <c r="A40" s="25" t="n">
        <v>37</v>
      </c>
      <c r="B40" s="22" t="n">
        <f aca="false">ROUNDUP(A40/12,0)</f>
        <v>4</v>
      </c>
      <c r="C40" s="25" t="n">
        <f aca="false">COUNTIF(Assumptions!$B$51:$B$57,"&lt;="&amp;A40)</f>
        <v>5</v>
      </c>
      <c r="D40" s="26" t="n">
        <f aca="false">INDEX(Assumptions!$B$42:$B$46,MATCH(B40,Assumptions!$A$42:$A$46,0))</f>
        <v>4</v>
      </c>
      <c r="E40" s="26" t="n">
        <f aca="false">E39*(1-Assumptions!$B$33)+D40</f>
        <v>52.8677677424572</v>
      </c>
      <c r="F40" s="26" t="n">
        <f aca="false">MAX(0,E40-D40*(1-Assumptions!$B$31)-D39*(1-Assumptions!$B$32))</f>
        <v>49.7177677424572</v>
      </c>
      <c r="G40" s="26" t="n">
        <f aca="false">F40*Assumptions!$B$26</f>
        <v>298.306606454743</v>
      </c>
      <c r="H40" s="26" t="n">
        <f aca="false">K39+G40</f>
        <v>730.278768745028</v>
      </c>
      <c r="I40" s="26" t="n">
        <f aca="false">MIN(F40*Assumptions!$B$27,H40*Assumptions!$B$28)</f>
        <v>1988.71070969829</v>
      </c>
      <c r="J40" s="26" t="n">
        <f aca="false">I40*Assumptions!$B$29</f>
        <v>238.645285163795</v>
      </c>
      <c r="K40" s="26" t="n">
        <f aca="false">MAX(0,H40-J40)*(1-Assumptions!$B$30)</f>
        <v>452.302804894735</v>
      </c>
      <c r="L40" s="27" t="n">
        <f aca="false">Assumptions!$B$14*(1+Assumptions!$B$15)^((A40-1)/12)</f>
        <v>1167271.5625</v>
      </c>
      <c r="M40" s="27" t="n">
        <f aca="false">J40*L40*Assumptions!$B$18</f>
        <v>27856385.4896401</v>
      </c>
      <c r="N40" s="27" t="n">
        <f aca="false">MAX(0,I40-J40)*Assumptions!$B$19</f>
        <v>3500130.84906899</v>
      </c>
      <c r="O40" s="26" t="n">
        <f aca="false">O39*(1-Assumptions!$B$23/12)+IF(A40&gt;=Assumptions!$B$22,J40*Assumptions!$B$21,0)</f>
        <v>827.372207071166</v>
      </c>
      <c r="P40" s="27" t="n">
        <f aca="false">O40*L40*Assumptions!$B$20/12</f>
        <v>6036050.30573146</v>
      </c>
      <c r="Q40" s="26" t="n">
        <f aca="false">IF(A40&gt;=Assumptions!$B$61,(A40-Assumptions!$B$61+1)*Assumptions!$B$64,0)</f>
        <v>3.9</v>
      </c>
      <c r="R40" s="27" t="n">
        <f aca="false">Q40*Assumptions!$B$62*Assumptions!$B$63</f>
        <v>5850000</v>
      </c>
      <c r="S40" s="17" t="n">
        <f aca="false">M40+N40+P40+R40</f>
        <v>43242566.6444405</v>
      </c>
      <c r="T40" s="27" t="n">
        <f aca="false">M40*Assumptions!$B$37+R40*Assumptions!$B$38</f>
        <v>10111915.646892</v>
      </c>
      <c r="U40" s="27" t="n">
        <f aca="false">E40*Assumptions!$B$36</f>
        <v>4229421.41939658</v>
      </c>
      <c r="V40" s="27" t="n">
        <f aca="false">T40+U40</f>
        <v>14341337.0662886</v>
      </c>
      <c r="W40" s="27" t="n">
        <f aca="false">S40-V40</f>
        <v>28901229.5781519</v>
      </c>
      <c r="X40" s="28" t="n">
        <f aca="false">IFERROR(W40/S40,0)</f>
        <v>0.668351391252758</v>
      </c>
      <c r="Y40" s="27" t="n">
        <f aca="false">INDEX(Assumptions!$B$68:$B$72,MATCH(B40,Assumptions!$A$68:$A$72,0))</f>
        <v>5000000</v>
      </c>
      <c r="Z40" s="27" t="n">
        <f aca="false">INDEX(Assumptions!$C$68:$C$72,MATCH(B40,Assumptions!$A$68:$A$72,0))</f>
        <v>600000</v>
      </c>
      <c r="AA40" s="27" t="n">
        <f aca="false">INDEX(Assumptions!$D$68:$D$72,MATCH(B40,Assumptions!$A$68:$A$72,0))</f>
        <v>2500000</v>
      </c>
      <c r="AB40" s="27" t="n">
        <f aca="false">INDEX(Assumptions!$E$68:$E$72,MATCH(B40,Assumptions!$A$68:$A$72,0))</f>
        <v>1200000</v>
      </c>
      <c r="AC40" s="27" t="n">
        <f aca="false">MAX(0,C40-C39)*Assumptions!$B$58</f>
        <v>0</v>
      </c>
      <c r="AD40" s="27" t="n">
        <f aca="false">SUM(Y40:AC40)</f>
        <v>9300000</v>
      </c>
      <c r="AE40" s="17" t="n">
        <f aca="false">W40-AD40</f>
        <v>19601229.5781519</v>
      </c>
      <c r="AF40" s="27" t="n">
        <f aca="false">AF39+AE40</f>
        <v>215090158.416776</v>
      </c>
    </row>
    <row r="41" customFormat="false" ht="15" hidden="false" customHeight="false" outlineLevel="0" collapsed="false">
      <c r="A41" s="25" t="n">
        <v>38</v>
      </c>
      <c r="B41" s="22" t="n">
        <f aca="false">ROUNDUP(A41/12,0)</f>
        <v>4</v>
      </c>
      <c r="C41" s="25" t="n">
        <f aca="false">COUNTIF(Assumptions!$B$51:$B$57,"&lt;="&amp;A41)</f>
        <v>5</v>
      </c>
      <c r="D41" s="26" t="n">
        <f aca="false">INDEX(Assumptions!$B$42:$B$46,MATCH(B41,Assumptions!$A$42:$A$46,0))</f>
        <v>4</v>
      </c>
      <c r="E41" s="26" t="n">
        <f aca="false">E40*(1-Assumptions!$B$33)+D41</f>
        <v>55.2817347101835</v>
      </c>
      <c r="F41" s="26" t="n">
        <f aca="false">MAX(0,E41-D41*(1-Assumptions!$B$31)-D40*(1-Assumptions!$B$32))</f>
        <v>51.8817347101835</v>
      </c>
      <c r="G41" s="26" t="n">
        <f aca="false">F41*Assumptions!$B$26</f>
        <v>311.290408261101</v>
      </c>
      <c r="H41" s="26" t="n">
        <f aca="false">K40+G41</f>
        <v>763.593213155836</v>
      </c>
      <c r="I41" s="26" t="n">
        <f aca="false">MIN(F41*Assumptions!$B$27,H41*Assumptions!$B$28)</f>
        <v>2075.26938840734</v>
      </c>
      <c r="J41" s="26" t="n">
        <f aca="false">I41*Assumptions!$B$29</f>
        <v>249.032326608881</v>
      </c>
      <c r="K41" s="26" t="n">
        <f aca="false">MAX(0,H41-J41)*(1-Assumptions!$B$30)</f>
        <v>473.396015623199</v>
      </c>
      <c r="L41" s="27" t="n">
        <f aca="false">Assumptions!$B$14*(1+Assumptions!$B$15)^((A41-1)/12)</f>
        <v>1180946.05187759</v>
      </c>
      <c r="M41" s="27" t="n">
        <f aca="false">J41*L41*Assumptions!$B$18</f>
        <v>29409374.2898649</v>
      </c>
      <c r="N41" s="27" t="n">
        <f aca="false">MAX(0,I41-J41)*Assumptions!$B$19</f>
        <v>3652474.12359692</v>
      </c>
      <c r="O41" s="26" t="n">
        <f aca="false">O40*(1-Assumptions!$B$23/12)+IF(A41&gt;=Assumptions!$B$22,J41*Assumptions!$B$21,0)</f>
        <v>882.735520331127</v>
      </c>
      <c r="P41" s="27" t="n">
        <f aca="false">O41*L41*Assumptions!$B$20/12</f>
        <v>6515393.92241974</v>
      </c>
      <c r="Q41" s="26" t="n">
        <f aca="false">IF(A41&gt;=Assumptions!$B$61,(A41-Assumptions!$B$61+1)*Assumptions!$B$64,0)</f>
        <v>4.2</v>
      </c>
      <c r="R41" s="27" t="n">
        <f aca="false">Q41*Assumptions!$B$62*Assumptions!$B$63</f>
        <v>6300000</v>
      </c>
      <c r="S41" s="17" t="n">
        <f aca="false">M41+N41+P41+R41</f>
        <v>45877242.3358816</v>
      </c>
      <c r="T41" s="27" t="n">
        <f aca="false">M41*Assumptions!$B$37+R41*Assumptions!$B$38</f>
        <v>10712812.2869595</v>
      </c>
      <c r="U41" s="27" t="n">
        <f aca="false">E41*Assumptions!$B$36</f>
        <v>4422538.77681468</v>
      </c>
      <c r="V41" s="27" t="n">
        <f aca="false">T41+U41</f>
        <v>15135351.0637742</v>
      </c>
      <c r="W41" s="27" t="n">
        <f aca="false">S41-V41</f>
        <v>30741891.2721074</v>
      </c>
      <c r="X41" s="28" t="n">
        <f aca="false">IFERROR(W41/S41,0)</f>
        <v>0.67009021699771</v>
      </c>
      <c r="Y41" s="27" t="n">
        <f aca="false">INDEX(Assumptions!$B$68:$B$72,MATCH(B41,Assumptions!$A$68:$A$72,0))</f>
        <v>5000000</v>
      </c>
      <c r="Z41" s="27" t="n">
        <f aca="false">INDEX(Assumptions!$C$68:$C$72,MATCH(B41,Assumptions!$A$68:$A$72,0))</f>
        <v>600000</v>
      </c>
      <c r="AA41" s="27" t="n">
        <f aca="false">INDEX(Assumptions!$D$68:$D$72,MATCH(B41,Assumptions!$A$68:$A$72,0))</f>
        <v>2500000</v>
      </c>
      <c r="AB41" s="27" t="n">
        <f aca="false">INDEX(Assumptions!$E$68:$E$72,MATCH(B41,Assumptions!$A$68:$A$72,0))</f>
        <v>1200000</v>
      </c>
      <c r="AC41" s="27" t="n">
        <f aca="false">MAX(0,C41-C40)*Assumptions!$B$58</f>
        <v>0</v>
      </c>
      <c r="AD41" s="27" t="n">
        <f aca="false">SUM(Y41:AC41)</f>
        <v>9300000</v>
      </c>
      <c r="AE41" s="17" t="n">
        <f aca="false">W41-AD41</f>
        <v>21441891.2721074</v>
      </c>
      <c r="AF41" s="27" t="n">
        <f aca="false">AF40+AE41</f>
        <v>236532049.688884</v>
      </c>
    </row>
    <row r="42" customFormat="false" ht="15" hidden="false" customHeight="false" outlineLevel="0" collapsed="false">
      <c r="A42" s="25" t="n">
        <v>39</v>
      </c>
      <c r="B42" s="22" t="n">
        <f aca="false">ROUNDUP(A42/12,0)</f>
        <v>4</v>
      </c>
      <c r="C42" s="25" t="n">
        <f aca="false">COUNTIF(Assumptions!$B$51:$B$57,"&lt;="&amp;A42)</f>
        <v>5</v>
      </c>
      <c r="D42" s="26" t="n">
        <f aca="false">INDEX(Assumptions!$B$42:$B$46,MATCH(B42,Assumptions!$A$42:$A$46,0))</f>
        <v>4</v>
      </c>
      <c r="E42" s="26" t="n">
        <f aca="false">E41*(1-Assumptions!$B$33)+D42</f>
        <v>57.623282668878</v>
      </c>
      <c r="F42" s="26" t="n">
        <f aca="false">MAX(0,E42-D42*(1-Assumptions!$B$31)-D41*(1-Assumptions!$B$32))</f>
        <v>54.223282668878</v>
      </c>
      <c r="G42" s="26" t="n">
        <f aca="false">F42*Assumptions!$B$26</f>
        <v>325.339696013268</v>
      </c>
      <c r="H42" s="26" t="n">
        <f aca="false">K41+G42</f>
        <v>798.735711636467</v>
      </c>
      <c r="I42" s="26" t="n">
        <f aca="false">MIN(F42*Assumptions!$B$27,H42*Assumptions!$B$28)</f>
        <v>2168.93130675512</v>
      </c>
      <c r="J42" s="26" t="n">
        <f aca="false">I42*Assumptions!$B$29</f>
        <v>260.271756810614</v>
      </c>
      <c r="K42" s="26" t="n">
        <f aca="false">MAX(0,H42-J42)*(1-Assumptions!$B$30)</f>
        <v>495.386838439784</v>
      </c>
      <c r="L42" s="27" t="n">
        <f aca="false">Assumptions!$B$14*(1+Assumptions!$B$15)^((A42-1)/12)</f>
        <v>1194780.73676217</v>
      </c>
      <c r="M42" s="27" t="n">
        <f aca="false">J42*L42*Assumptions!$B$18</f>
        <v>31096768.136057</v>
      </c>
      <c r="N42" s="27" t="n">
        <f aca="false">MAX(0,I42-J42)*Assumptions!$B$19</f>
        <v>3817319.09988901</v>
      </c>
      <c r="O42" s="26" t="n">
        <f aca="false">O41*(1-Assumptions!$B$23/12)+IF(A42&gt;=Assumptions!$B$22,J42*Assumptions!$B$21,0)</f>
        <v>940.447330197687</v>
      </c>
      <c r="P42" s="27" t="n">
        <f aca="false">O42*L42*Assumptions!$B$20/12</f>
        <v>7022677.21287255</v>
      </c>
      <c r="Q42" s="26" t="n">
        <f aca="false">IF(A42&gt;=Assumptions!$B$61,(A42-Assumptions!$B$61+1)*Assumptions!$B$64,0)</f>
        <v>4.5</v>
      </c>
      <c r="R42" s="27" t="n">
        <f aca="false">Q42*Assumptions!$B$62*Assumptions!$B$63</f>
        <v>6750000</v>
      </c>
      <c r="S42" s="17" t="n">
        <f aca="false">M42+N42+P42+R42</f>
        <v>48686764.4488186</v>
      </c>
      <c r="T42" s="27" t="n">
        <f aca="false">M42*Assumptions!$B$37+R42*Assumptions!$B$38</f>
        <v>11354030.4408171</v>
      </c>
      <c r="U42" s="27" t="n">
        <f aca="false">E42*Assumptions!$B$36</f>
        <v>4609862.61351024</v>
      </c>
      <c r="V42" s="27" t="n">
        <f aca="false">T42+U42</f>
        <v>15963893.0543273</v>
      </c>
      <c r="W42" s="27" t="n">
        <f aca="false">S42-V42</f>
        <v>32722871.3944912</v>
      </c>
      <c r="X42" s="28" t="n">
        <f aca="false">IFERROR(W42/S42,0)</f>
        <v>0.6721102082865</v>
      </c>
      <c r="Y42" s="27" t="n">
        <f aca="false">INDEX(Assumptions!$B$68:$B$72,MATCH(B42,Assumptions!$A$68:$A$72,0))</f>
        <v>5000000</v>
      </c>
      <c r="Z42" s="27" t="n">
        <f aca="false">INDEX(Assumptions!$C$68:$C$72,MATCH(B42,Assumptions!$A$68:$A$72,0))</f>
        <v>600000</v>
      </c>
      <c r="AA42" s="27" t="n">
        <f aca="false">INDEX(Assumptions!$D$68:$D$72,MATCH(B42,Assumptions!$A$68:$A$72,0))</f>
        <v>2500000</v>
      </c>
      <c r="AB42" s="27" t="n">
        <f aca="false">INDEX(Assumptions!$E$68:$E$72,MATCH(B42,Assumptions!$A$68:$A$72,0))</f>
        <v>1200000</v>
      </c>
      <c r="AC42" s="27" t="n">
        <f aca="false">MAX(0,C42-C41)*Assumptions!$B$58</f>
        <v>0</v>
      </c>
      <c r="AD42" s="27" t="n">
        <f aca="false">SUM(Y42:AC42)</f>
        <v>9300000</v>
      </c>
      <c r="AE42" s="17" t="n">
        <f aca="false">W42-AD42</f>
        <v>23422871.3944912</v>
      </c>
      <c r="AF42" s="27" t="n">
        <f aca="false">AF41+AE42</f>
        <v>259954921.083375</v>
      </c>
    </row>
    <row r="43" customFormat="false" ht="15" hidden="false" customHeight="false" outlineLevel="0" collapsed="false">
      <c r="A43" s="25" t="n">
        <v>40</v>
      </c>
      <c r="B43" s="22" t="n">
        <f aca="false">ROUNDUP(A43/12,0)</f>
        <v>4</v>
      </c>
      <c r="C43" s="25" t="n">
        <f aca="false">COUNTIF(Assumptions!$B$51:$B$57,"&lt;="&amp;A43)</f>
        <v>5</v>
      </c>
      <c r="D43" s="26" t="n">
        <f aca="false">INDEX(Assumptions!$B$42:$B$46,MATCH(B43,Assumptions!$A$42:$A$46,0))</f>
        <v>4</v>
      </c>
      <c r="E43" s="26" t="n">
        <f aca="false">E42*(1-Assumptions!$B$33)+D43</f>
        <v>59.8945841888117</v>
      </c>
      <c r="F43" s="26" t="n">
        <f aca="false">MAX(0,E43-D43*(1-Assumptions!$B$31)-D42*(1-Assumptions!$B$32))</f>
        <v>56.4945841888117</v>
      </c>
      <c r="G43" s="26" t="n">
        <f aca="false">F43*Assumptions!$B$26</f>
        <v>338.96750513287</v>
      </c>
      <c r="H43" s="26" t="n">
        <f aca="false">K42+G43</f>
        <v>834.354343572654</v>
      </c>
      <c r="I43" s="26" t="n">
        <f aca="false">MIN(F43*Assumptions!$B$27,H43*Assumptions!$B$28)</f>
        <v>2259.78336755247</v>
      </c>
      <c r="J43" s="26" t="n">
        <f aca="false">I43*Assumptions!$B$29</f>
        <v>271.174004106296</v>
      </c>
      <c r="K43" s="26" t="n">
        <f aca="false">MAX(0,H43-J43)*(1-Assumptions!$B$30)</f>
        <v>518.12591230905</v>
      </c>
      <c r="L43" s="27" t="n">
        <f aca="false">Assumptions!$B$14*(1+Assumptions!$B$15)^((A43-1)/12)</f>
        <v>1208777.49383078</v>
      </c>
      <c r="M43" s="27" t="n">
        <f aca="false">J43*L43*Assumptions!$B$18</f>
        <v>32778903.3075666</v>
      </c>
      <c r="N43" s="27" t="n">
        <f aca="false">MAX(0,I43-J43)*Assumptions!$B$19</f>
        <v>3977218.72689234</v>
      </c>
      <c r="O43" s="26" t="n">
        <f aca="false">O42*(1-Assumptions!$B$23/12)+IF(A43&gt;=Assumptions!$B$22,J43*Assumptions!$B$21,0)</f>
        <v>1000.40377013928</v>
      </c>
      <c r="P43" s="27" t="n">
        <f aca="false">O43*L43*Assumptions!$B$20/12</f>
        <v>7557909.76304889</v>
      </c>
      <c r="Q43" s="26" t="n">
        <f aca="false">IF(A43&gt;=Assumptions!$B$61,(A43-Assumptions!$B$61+1)*Assumptions!$B$64,0)</f>
        <v>4.8</v>
      </c>
      <c r="R43" s="27" t="n">
        <f aca="false">Q43*Assumptions!$B$62*Assumptions!$B$63</f>
        <v>7200000</v>
      </c>
      <c r="S43" s="17" t="n">
        <f aca="false">M43+N43+P43+R43</f>
        <v>51514031.7975078</v>
      </c>
      <c r="T43" s="27" t="n">
        <f aca="false">M43*Assumptions!$B$37+R43*Assumptions!$B$38</f>
        <v>11993670.99227</v>
      </c>
      <c r="U43" s="27" t="n">
        <f aca="false">E43*Assumptions!$B$36</f>
        <v>4791566.73510493</v>
      </c>
      <c r="V43" s="27" t="n">
        <f aca="false">T43+U43</f>
        <v>16785237.7273749</v>
      </c>
      <c r="W43" s="27" t="n">
        <f aca="false">S43-V43</f>
        <v>34728794.0701329</v>
      </c>
      <c r="X43" s="28" t="n">
        <f aca="false">IFERROR(W43/S43,0)</f>
        <v>0.674161832384726</v>
      </c>
      <c r="Y43" s="27" t="n">
        <f aca="false">INDEX(Assumptions!$B$68:$B$72,MATCH(B43,Assumptions!$A$68:$A$72,0))</f>
        <v>5000000</v>
      </c>
      <c r="Z43" s="27" t="n">
        <f aca="false">INDEX(Assumptions!$C$68:$C$72,MATCH(B43,Assumptions!$A$68:$A$72,0))</f>
        <v>600000</v>
      </c>
      <c r="AA43" s="27" t="n">
        <f aca="false">INDEX(Assumptions!$D$68:$D$72,MATCH(B43,Assumptions!$A$68:$A$72,0))</f>
        <v>2500000</v>
      </c>
      <c r="AB43" s="27" t="n">
        <f aca="false">INDEX(Assumptions!$E$68:$E$72,MATCH(B43,Assumptions!$A$68:$A$72,0))</f>
        <v>1200000</v>
      </c>
      <c r="AC43" s="27" t="n">
        <f aca="false">MAX(0,C43-C42)*Assumptions!$B$58</f>
        <v>0</v>
      </c>
      <c r="AD43" s="27" t="n">
        <f aca="false">SUM(Y43:AC43)</f>
        <v>9300000</v>
      </c>
      <c r="AE43" s="17" t="n">
        <f aca="false">W43-AD43</f>
        <v>25428794.0701329</v>
      </c>
      <c r="AF43" s="27" t="n">
        <f aca="false">AF42+AE43</f>
        <v>285383715.153508</v>
      </c>
    </row>
    <row r="44" customFormat="false" ht="15" hidden="false" customHeight="false" outlineLevel="0" collapsed="false">
      <c r="A44" s="25" t="n">
        <v>41</v>
      </c>
      <c r="B44" s="22" t="n">
        <f aca="false">ROUNDUP(A44/12,0)</f>
        <v>4</v>
      </c>
      <c r="C44" s="25" t="n">
        <f aca="false">COUNTIF(Assumptions!$B$51:$B$57,"&lt;="&amp;A44)</f>
        <v>5</v>
      </c>
      <c r="D44" s="26" t="n">
        <f aca="false">INDEX(Assumptions!$B$42:$B$46,MATCH(B44,Assumptions!$A$42:$A$46,0))</f>
        <v>4</v>
      </c>
      <c r="E44" s="26" t="n">
        <f aca="false">E43*(1-Assumptions!$B$33)+D44</f>
        <v>62.0977466631473</v>
      </c>
      <c r="F44" s="26" t="n">
        <f aca="false">MAX(0,E44-D44*(1-Assumptions!$B$31)-D43*(1-Assumptions!$B$32))</f>
        <v>58.6977466631473</v>
      </c>
      <c r="G44" s="26" t="n">
        <f aca="false">F44*Assumptions!$B$26</f>
        <v>352.186479978884</v>
      </c>
      <c r="H44" s="26" t="n">
        <f aca="false">K43+G44</f>
        <v>870.312392287934</v>
      </c>
      <c r="I44" s="26" t="n">
        <f aca="false">MIN(F44*Assumptions!$B$27,H44*Assumptions!$B$28)</f>
        <v>2347.90986652589</v>
      </c>
      <c r="J44" s="26" t="n">
        <f aca="false">I44*Assumptions!$B$29</f>
        <v>281.749183983107</v>
      </c>
      <c r="K44" s="26" t="n">
        <f aca="false">MAX(0,H44-J44)*(1-Assumptions!$B$30)</f>
        <v>541.47815164044</v>
      </c>
      <c r="L44" s="27" t="n">
        <f aca="false">Assumptions!$B$14*(1+Assumptions!$B$15)^((A44-1)/12)</f>
        <v>1222938.2217456</v>
      </c>
      <c r="M44" s="27" t="n">
        <f aca="false">J44*L44*Assumptions!$B$18</f>
        <v>34456184.6038574</v>
      </c>
      <c r="N44" s="27" t="n">
        <f aca="false">MAX(0,I44-J44)*Assumptions!$B$19</f>
        <v>4132321.36508557</v>
      </c>
      <c r="O44" s="26" t="n">
        <f aca="false">O43*(1-Assumptions!$B$23/12)+IF(A44&gt;=Assumptions!$B$22,J44*Assumptions!$B$21,0)</f>
        <v>1062.50436805056</v>
      </c>
      <c r="P44" s="27" t="n">
        <f aca="false">O44*L44*Assumptions!$B$20/12</f>
        <v>8121107.51537927</v>
      </c>
      <c r="Q44" s="26" t="n">
        <f aca="false">IF(A44&gt;=Assumptions!$B$61,(A44-Assumptions!$B$61+1)*Assumptions!$B$64,0)</f>
        <v>5.1</v>
      </c>
      <c r="R44" s="27" t="n">
        <f aca="false">Q44*Assumptions!$B$62*Assumptions!$B$63</f>
        <v>7650000</v>
      </c>
      <c r="S44" s="17" t="n">
        <f aca="false">M44+N44+P44+R44</f>
        <v>54359613.4843222</v>
      </c>
      <c r="T44" s="27" t="n">
        <f aca="false">M44*Assumptions!$B$37+R44*Assumptions!$B$38</f>
        <v>12631855.3811572</v>
      </c>
      <c r="U44" s="27" t="n">
        <f aca="false">E44*Assumptions!$B$36</f>
        <v>4967819.73305178</v>
      </c>
      <c r="V44" s="27" t="n">
        <f aca="false">T44+U44</f>
        <v>17599675.114209</v>
      </c>
      <c r="W44" s="27" t="n">
        <f aca="false">S44-V44</f>
        <v>36759938.3701132</v>
      </c>
      <c r="X44" s="28" t="n">
        <f aca="false">IFERROR(W44/S44,0)</f>
        <v>0.676236198418061</v>
      </c>
      <c r="Y44" s="27" t="n">
        <f aca="false">INDEX(Assumptions!$B$68:$B$72,MATCH(B44,Assumptions!$A$68:$A$72,0))</f>
        <v>5000000</v>
      </c>
      <c r="Z44" s="27" t="n">
        <f aca="false">INDEX(Assumptions!$C$68:$C$72,MATCH(B44,Assumptions!$A$68:$A$72,0))</f>
        <v>600000</v>
      </c>
      <c r="AA44" s="27" t="n">
        <f aca="false">INDEX(Assumptions!$D$68:$D$72,MATCH(B44,Assumptions!$A$68:$A$72,0))</f>
        <v>2500000</v>
      </c>
      <c r="AB44" s="27" t="n">
        <f aca="false">INDEX(Assumptions!$E$68:$E$72,MATCH(B44,Assumptions!$A$68:$A$72,0))</f>
        <v>1200000</v>
      </c>
      <c r="AC44" s="27" t="n">
        <f aca="false">MAX(0,C44-C43)*Assumptions!$B$58</f>
        <v>0</v>
      </c>
      <c r="AD44" s="27" t="n">
        <f aca="false">SUM(Y44:AC44)</f>
        <v>9300000</v>
      </c>
      <c r="AE44" s="17" t="n">
        <f aca="false">W44-AD44</f>
        <v>27459938.3701132</v>
      </c>
      <c r="AF44" s="27" t="n">
        <f aca="false">AF43+AE44</f>
        <v>312843653.523621</v>
      </c>
    </row>
    <row r="45" customFormat="false" ht="15" hidden="false" customHeight="false" outlineLevel="0" collapsed="false">
      <c r="A45" s="25" t="n">
        <v>42</v>
      </c>
      <c r="B45" s="22" t="n">
        <f aca="false">ROUNDUP(A45/12,0)</f>
        <v>4</v>
      </c>
      <c r="C45" s="25" t="n">
        <f aca="false">COUNTIF(Assumptions!$B$51:$B$57,"&lt;="&amp;A45)</f>
        <v>5</v>
      </c>
      <c r="D45" s="26" t="n">
        <f aca="false">INDEX(Assumptions!$B$42:$B$46,MATCH(B45,Assumptions!$A$42:$A$46,0))</f>
        <v>4</v>
      </c>
      <c r="E45" s="26" t="n">
        <f aca="false">E44*(1-Assumptions!$B$33)+D45</f>
        <v>64.2348142632529</v>
      </c>
      <c r="F45" s="26" t="n">
        <f aca="false">MAX(0,E45-D45*(1-Assumptions!$B$31)-D44*(1-Assumptions!$B$32))</f>
        <v>60.8348142632529</v>
      </c>
      <c r="G45" s="26" t="n">
        <f aca="false">F45*Assumptions!$B$26</f>
        <v>365.008885579517</v>
      </c>
      <c r="H45" s="26" t="n">
        <f aca="false">K44+G45</f>
        <v>906.487037219958</v>
      </c>
      <c r="I45" s="26" t="n">
        <f aca="false">MIN(F45*Assumptions!$B$27,H45*Assumptions!$B$28)</f>
        <v>2433.39257053012</v>
      </c>
      <c r="J45" s="26" t="n">
        <f aca="false">I45*Assumptions!$B$29</f>
        <v>292.007108463614</v>
      </c>
      <c r="K45" s="26" t="n">
        <f aca="false">MAX(0,H45-J45)*(1-Assumptions!$B$30)</f>
        <v>565.321534455837</v>
      </c>
      <c r="L45" s="27" t="n">
        <f aca="false">Assumptions!$B$14*(1+Assumptions!$B$15)^((A45-1)/12)</f>
        <v>1237264.84141146</v>
      </c>
      <c r="M45" s="27" t="n">
        <f aca="false">J45*L45*Assumptions!$B$18</f>
        <v>36129012.8744251</v>
      </c>
      <c r="N45" s="27" t="n">
        <f aca="false">MAX(0,I45-J45)*Assumptions!$B$19</f>
        <v>4282770.924133</v>
      </c>
      <c r="O45" s="26" t="n">
        <f aca="false">O44*(1-Assumptions!$B$23/12)+IF(A45&gt;=Assumptions!$B$22,J45*Assumptions!$B$21,0)</f>
        <v>1126.65194209938</v>
      </c>
      <c r="P45" s="27" t="n">
        <f aca="false">O45*L45*Assumptions!$B$20/12</f>
        <v>8712292.72792187</v>
      </c>
      <c r="Q45" s="26" t="n">
        <f aca="false">IF(A45&gt;=Assumptions!$B$61,(A45-Assumptions!$B$61+1)*Assumptions!$B$64,0)</f>
        <v>5.4</v>
      </c>
      <c r="R45" s="27" t="n">
        <f aca="false">Q45*Assumptions!$B$62*Assumptions!$B$63</f>
        <v>8100000</v>
      </c>
      <c r="S45" s="17" t="n">
        <f aca="false">M45+N45+P45+R45</f>
        <v>57224076.52648</v>
      </c>
      <c r="T45" s="27" t="n">
        <f aca="false">M45*Assumptions!$B$37+R45*Assumptions!$B$38</f>
        <v>13268703.8623275</v>
      </c>
      <c r="U45" s="27" t="n">
        <f aca="false">E45*Assumptions!$B$36</f>
        <v>5138785.14106023</v>
      </c>
      <c r="V45" s="27" t="n">
        <f aca="false">T45+U45</f>
        <v>18407489.0033878</v>
      </c>
      <c r="W45" s="27" t="n">
        <f aca="false">S45-V45</f>
        <v>38816587.5230922</v>
      </c>
      <c r="X45" s="28" t="n">
        <f aca="false">IFERROR(W45/S45,0)</f>
        <v>0.678326150097506</v>
      </c>
      <c r="Y45" s="27" t="n">
        <f aca="false">INDEX(Assumptions!$B$68:$B$72,MATCH(B45,Assumptions!$A$68:$A$72,0))</f>
        <v>5000000</v>
      </c>
      <c r="Z45" s="27" t="n">
        <f aca="false">INDEX(Assumptions!$C$68:$C$72,MATCH(B45,Assumptions!$A$68:$A$72,0))</f>
        <v>600000</v>
      </c>
      <c r="AA45" s="27" t="n">
        <f aca="false">INDEX(Assumptions!$D$68:$D$72,MATCH(B45,Assumptions!$A$68:$A$72,0))</f>
        <v>2500000</v>
      </c>
      <c r="AB45" s="27" t="n">
        <f aca="false">INDEX(Assumptions!$E$68:$E$72,MATCH(B45,Assumptions!$A$68:$A$72,0))</f>
        <v>1200000</v>
      </c>
      <c r="AC45" s="27" t="n">
        <f aca="false">MAX(0,C45-C44)*Assumptions!$B$58</f>
        <v>0</v>
      </c>
      <c r="AD45" s="27" t="n">
        <f aca="false">SUM(Y45:AC45)</f>
        <v>9300000</v>
      </c>
      <c r="AE45" s="17" t="n">
        <f aca="false">W45-AD45</f>
        <v>29516587.5230922</v>
      </c>
      <c r="AF45" s="27" t="n">
        <f aca="false">AF44+AE45</f>
        <v>342360241.046714</v>
      </c>
    </row>
    <row r="46" customFormat="false" ht="15" hidden="false" customHeight="false" outlineLevel="0" collapsed="false">
      <c r="A46" s="25" t="n">
        <v>43</v>
      </c>
      <c r="B46" s="22" t="n">
        <f aca="false">ROUNDUP(A46/12,0)</f>
        <v>4</v>
      </c>
      <c r="C46" s="25" t="n">
        <f aca="false">COUNTIF(Assumptions!$B$51:$B$57,"&lt;="&amp;A46)</f>
        <v>6</v>
      </c>
      <c r="D46" s="26" t="n">
        <f aca="false">INDEX(Assumptions!$B$42:$B$46,MATCH(B46,Assumptions!$A$42:$A$46,0))</f>
        <v>4</v>
      </c>
      <c r="E46" s="26" t="n">
        <f aca="false">E45*(1-Assumptions!$B$33)+D46</f>
        <v>66.3077698353553</v>
      </c>
      <c r="F46" s="26" t="n">
        <f aca="false">MAX(0,E46-D46*(1-Assumptions!$B$31)-D45*(1-Assumptions!$B$32))</f>
        <v>62.9077698353553</v>
      </c>
      <c r="G46" s="26" t="n">
        <f aca="false">F46*Assumptions!$B$26</f>
        <v>377.446619012132</v>
      </c>
      <c r="H46" s="26" t="n">
        <f aca="false">K45+G46</f>
        <v>942.768153467968</v>
      </c>
      <c r="I46" s="26" t="n">
        <f aca="false">MIN(F46*Assumptions!$B$27,H46*Assumptions!$B$28)</f>
        <v>2516.31079341421</v>
      </c>
      <c r="J46" s="26" t="n">
        <f aca="false">I46*Assumptions!$B$29</f>
        <v>301.957295209705</v>
      </c>
      <c r="K46" s="26" t="n">
        <f aca="false">MAX(0,H46-J46)*(1-Assumptions!$B$30)</f>
        <v>589.545989597602</v>
      </c>
      <c r="L46" s="27" t="n">
        <f aca="false">Assumptions!$B$14*(1+Assumptions!$B$15)^((A46-1)/12)</f>
        <v>1251759.29623645</v>
      </c>
      <c r="M46" s="27" t="n">
        <f aca="false">J46*L46*Assumptions!$B$18</f>
        <v>37797785.1345163</v>
      </c>
      <c r="N46" s="27" t="n">
        <f aca="false">MAX(0,I46-J46)*Assumptions!$B$19</f>
        <v>4428706.99640901</v>
      </c>
      <c r="O46" s="26" t="n">
        <f aca="false">O45*(1-Assumptions!$B$23/12)+IF(A46&gt;=Assumptions!$B$22,J46*Assumptions!$B$21,0)</f>
        <v>1192.75249971764</v>
      </c>
      <c r="P46" s="27" t="n">
        <f aca="false">O46*L46*Assumptions!$B$20/12</f>
        <v>9331493.93519264</v>
      </c>
      <c r="Q46" s="26" t="n">
        <f aca="false">IF(A46&gt;=Assumptions!$B$61,(A46-Assumptions!$B$61+1)*Assumptions!$B$64,0)</f>
        <v>5.7</v>
      </c>
      <c r="R46" s="27" t="n">
        <f aca="false">Q46*Assumptions!$B$62*Assumptions!$B$63</f>
        <v>8550000</v>
      </c>
      <c r="S46" s="17" t="n">
        <f aca="false">M46+N46+P46+R46</f>
        <v>60107986.0661179</v>
      </c>
      <c r="T46" s="27" t="n">
        <f aca="false">M46*Assumptions!$B$37+R46*Assumptions!$B$38</f>
        <v>13904335.5403549</v>
      </c>
      <c r="U46" s="27" t="n">
        <f aca="false">E46*Assumptions!$B$36</f>
        <v>5304621.58682842</v>
      </c>
      <c r="V46" s="27" t="n">
        <f aca="false">T46+U46</f>
        <v>19208957.1271833</v>
      </c>
      <c r="W46" s="27" t="n">
        <f aca="false">S46-V46</f>
        <v>40899028.9389346</v>
      </c>
      <c r="X46" s="28" t="n">
        <f aca="false">IFERROR(W46/S46,0)</f>
        <v>0.680425873759042</v>
      </c>
      <c r="Y46" s="27" t="n">
        <f aca="false">INDEX(Assumptions!$B$68:$B$72,MATCH(B46,Assumptions!$A$68:$A$72,0))</f>
        <v>5000000</v>
      </c>
      <c r="Z46" s="27" t="n">
        <f aca="false">INDEX(Assumptions!$C$68:$C$72,MATCH(B46,Assumptions!$A$68:$A$72,0))</f>
        <v>600000</v>
      </c>
      <c r="AA46" s="27" t="n">
        <f aca="false">INDEX(Assumptions!$D$68:$D$72,MATCH(B46,Assumptions!$A$68:$A$72,0))</f>
        <v>2500000</v>
      </c>
      <c r="AB46" s="27" t="n">
        <f aca="false">INDEX(Assumptions!$E$68:$E$72,MATCH(B46,Assumptions!$A$68:$A$72,0))</f>
        <v>1200000</v>
      </c>
      <c r="AC46" s="27" t="n">
        <f aca="false">MAX(0,C46-C45)*Assumptions!$B$58</f>
        <v>1500000</v>
      </c>
      <c r="AD46" s="27" t="n">
        <f aca="false">SUM(Y46:AC46)</f>
        <v>10800000</v>
      </c>
      <c r="AE46" s="17" t="n">
        <f aca="false">W46-AD46</f>
        <v>30099028.9389346</v>
      </c>
      <c r="AF46" s="27" t="n">
        <f aca="false">AF45+AE46</f>
        <v>372459269.985648</v>
      </c>
    </row>
    <row r="47" customFormat="false" ht="15" hidden="false" customHeight="false" outlineLevel="0" collapsed="false">
      <c r="A47" s="25" t="n">
        <v>44</v>
      </c>
      <c r="B47" s="22" t="n">
        <f aca="false">ROUNDUP(A47/12,0)</f>
        <v>4</v>
      </c>
      <c r="C47" s="25" t="n">
        <f aca="false">COUNTIF(Assumptions!$B$51:$B$57,"&lt;="&amp;A47)</f>
        <v>6</v>
      </c>
      <c r="D47" s="26" t="n">
        <f aca="false">INDEX(Assumptions!$B$42:$B$46,MATCH(B47,Assumptions!$A$42:$A$46,0))</f>
        <v>4</v>
      </c>
      <c r="E47" s="26" t="n">
        <f aca="false">E46*(1-Assumptions!$B$33)+D47</f>
        <v>68.3185367402946</v>
      </c>
      <c r="F47" s="26" t="n">
        <f aca="false">MAX(0,E47-D47*(1-Assumptions!$B$31)-D46*(1-Assumptions!$B$32))</f>
        <v>64.9185367402946</v>
      </c>
      <c r="G47" s="26" t="n">
        <f aca="false">F47*Assumptions!$B$26</f>
        <v>389.511220441768</v>
      </c>
      <c r="H47" s="26" t="n">
        <f aca="false">K46+G47</f>
        <v>979.05721003937</v>
      </c>
      <c r="I47" s="26" t="n">
        <f aca="false">MIN(F47*Assumptions!$B$27,H47*Assumptions!$B$28)</f>
        <v>2596.74146961179</v>
      </c>
      <c r="J47" s="26" t="n">
        <f aca="false">I47*Assumptions!$B$29</f>
        <v>311.608976353414</v>
      </c>
      <c r="K47" s="26" t="n">
        <f aca="false">MAX(0,H47-J47)*(1-Assumptions!$B$30)</f>
        <v>614.052374991079</v>
      </c>
      <c r="L47" s="27" t="n">
        <f aca="false">Assumptions!$B$14*(1+Assumptions!$B$15)^((A47-1)/12)</f>
        <v>1266423.55239551</v>
      </c>
      <c r="M47" s="27" t="n">
        <f aca="false">J47*L47*Assumptions!$B$18</f>
        <v>39462894.679182</v>
      </c>
      <c r="N47" s="27" t="n">
        <f aca="false">MAX(0,I47-J47)*Assumptions!$B$19</f>
        <v>4570264.98651674</v>
      </c>
      <c r="O47" s="26" t="n">
        <f aca="false">O46*(1-Assumptions!$B$23/12)+IF(A47&gt;=Assumptions!$B$22,J47*Assumptions!$B$21,0)</f>
        <v>1260.71513964168</v>
      </c>
      <c r="P47" s="27" t="n">
        <f aca="false">O47*L47*Assumptions!$B$20/12</f>
        <v>9978745.91064891</v>
      </c>
      <c r="Q47" s="26" t="n">
        <f aca="false">IF(A47&gt;=Assumptions!$B$61,(A47-Assumptions!$B$61+1)*Assumptions!$B$64,0)</f>
        <v>6</v>
      </c>
      <c r="R47" s="27" t="n">
        <f aca="false">Q47*Assumptions!$B$62*Assumptions!$B$63</f>
        <v>9000000</v>
      </c>
      <c r="S47" s="17" t="n">
        <f aca="false">M47+N47+P47+R47</f>
        <v>63011905.5763477</v>
      </c>
      <c r="T47" s="27" t="n">
        <f aca="false">M47*Assumptions!$B$37+R47*Assumptions!$B$38</f>
        <v>14538868.4037546</v>
      </c>
      <c r="U47" s="27" t="n">
        <f aca="false">E47*Assumptions!$B$36</f>
        <v>5465482.93922357</v>
      </c>
      <c r="V47" s="27" t="n">
        <f aca="false">T47+U47</f>
        <v>20004351.3429782</v>
      </c>
      <c r="W47" s="27" t="n">
        <f aca="false">S47-V47</f>
        <v>43007554.2333695</v>
      </c>
      <c r="X47" s="28" t="n">
        <f aca="false">IFERROR(W47/S47,0)</f>
        <v>0.682530608144518</v>
      </c>
      <c r="Y47" s="27" t="n">
        <f aca="false">INDEX(Assumptions!$B$68:$B$72,MATCH(B47,Assumptions!$A$68:$A$72,0))</f>
        <v>5000000</v>
      </c>
      <c r="Z47" s="27" t="n">
        <f aca="false">INDEX(Assumptions!$C$68:$C$72,MATCH(B47,Assumptions!$A$68:$A$72,0))</f>
        <v>600000</v>
      </c>
      <c r="AA47" s="27" t="n">
        <f aca="false">INDEX(Assumptions!$D$68:$D$72,MATCH(B47,Assumptions!$A$68:$A$72,0))</f>
        <v>2500000</v>
      </c>
      <c r="AB47" s="27" t="n">
        <f aca="false">INDEX(Assumptions!$E$68:$E$72,MATCH(B47,Assumptions!$A$68:$A$72,0))</f>
        <v>1200000</v>
      </c>
      <c r="AC47" s="27" t="n">
        <f aca="false">MAX(0,C47-C46)*Assumptions!$B$58</f>
        <v>0</v>
      </c>
      <c r="AD47" s="27" t="n">
        <f aca="false">SUM(Y47:AC47)</f>
        <v>9300000</v>
      </c>
      <c r="AE47" s="17" t="n">
        <f aca="false">W47-AD47</f>
        <v>33707554.2333695</v>
      </c>
      <c r="AF47" s="27" t="n">
        <f aca="false">AF46+AE47</f>
        <v>406166824.219018</v>
      </c>
    </row>
    <row r="48" customFormat="false" ht="15" hidden="false" customHeight="false" outlineLevel="0" collapsed="false">
      <c r="A48" s="25" t="n">
        <v>45</v>
      </c>
      <c r="B48" s="22" t="n">
        <f aca="false">ROUNDUP(A48/12,0)</f>
        <v>4</v>
      </c>
      <c r="C48" s="25" t="n">
        <f aca="false">COUNTIF(Assumptions!$B$51:$B$57,"&lt;="&amp;A48)</f>
        <v>6</v>
      </c>
      <c r="D48" s="26" t="n">
        <f aca="false">INDEX(Assumptions!$B$42:$B$46,MATCH(B48,Assumptions!$A$42:$A$46,0))</f>
        <v>4</v>
      </c>
      <c r="E48" s="26" t="n">
        <f aca="false">E47*(1-Assumptions!$B$33)+D48</f>
        <v>70.2689806380858</v>
      </c>
      <c r="F48" s="26" t="n">
        <f aca="false">MAX(0,E48-D48*(1-Assumptions!$B$31)-D47*(1-Assumptions!$B$32))</f>
        <v>66.8689806380858</v>
      </c>
      <c r="G48" s="26" t="n">
        <f aca="false">F48*Assumptions!$B$26</f>
        <v>401.213883828515</v>
      </c>
      <c r="H48" s="26" t="n">
        <f aca="false">K47+G48</f>
        <v>1015.26625881959</v>
      </c>
      <c r="I48" s="26" t="n">
        <f aca="false">MIN(F48*Assumptions!$B$27,H48*Assumptions!$B$28)</f>
        <v>2674.75922552343</v>
      </c>
      <c r="J48" s="26" t="n">
        <f aca="false">I48*Assumptions!$B$29</f>
        <v>320.971107062812</v>
      </c>
      <c r="K48" s="26" t="n">
        <f aca="false">MAX(0,H48-J48)*(1-Assumptions!$B$30)</f>
        <v>638.751539616239</v>
      </c>
      <c r="L48" s="27" t="n">
        <f aca="false">Assumptions!$B$14*(1+Assumptions!$B$15)^((A48-1)/12)</f>
        <v>1281259.59909717</v>
      </c>
      <c r="M48" s="27" t="n">
        <f aca="false">J48*L48*Assumptions!$B$18</f>
        <v>41124731.1957074</v>
      </c>
      <c r="N48" s="27" t="n">
        <f aca="false">MAX(0,I48-J48)*Assumptions!$B$19</f>
        <v>4707576.23692124</v>
      </c>
      <c r="O48" s="26" t="n">
        <f aca="false">O47*(1-Assumptions!$B$23/12)+IF(A48&gt;=Assumptions!$B$22,J48*Assumptions!$B$21,0)</f>
        <v>1330.45195691037</v>
      </c>
      <c r="P48" s="27" t="n">
        <f aca="false">O48*L48*Assumptions!$B$20/12</f>
        <v>10654089.6308064</v>
      </c>
      <c r="Q48" s="26" t="n">
        <f aca="false">IF(A48&gt;=Assumptions!$B$61,(A48-Assumptions!$B$61+1)*Assumptions!$B$64,0)</f>
        <v>6.3</v>
      </c>
      <c r="R48" s="27" t="n">
        <f aca="false">Q48*Assumptions!$B$62*Assumptions!$B$63</f>
        <v>9450000</v>
      </c>
      <c r="S48" s="17" t="n">
        <f aca="false">M48+N48+P48+R48</f>
        <v>65936397.063435</v>
      </c>
      <c r="T48" s="27" t="n">
        <f aca="false">M48*Assumptions!$B$37+R48*Assumptions!$B$38</f>
        <v>15172419.3587122</v>
      </c>
      <c r="U48" s="27" t="n">
        <f aca="false">E48*Assumptions!$B$36</f>
        <v>5621518.45104686</v>
      </c>
      <c r="V48" s="27" t="n">
        <f aca="false">T48+U48</f>
        <v>20793937.8097591</v>
      </c>
      <c r="W48" s="27" t="n">
        <f aca="false">S48-V48</f>
        <v>45142459.253676</v>
      </c>
      <c r="X48" s="28" t="n">
        <f aca="false">IFERROR(W48/S48,0)</f>
        <v>0.684636426376862</v>
      </c>
      <c r="Y48" s="27" t="n">
        <f aca="false">INDEX(Assumptions!$B$68:$B$72,MATCH(B48,Assumptions!$A$68:$A$72,0))</f>
        <v>5000000</v>
      </c>
      <c r="Z48" s="27" t="n">
        <f aca="false">INDEX(Assumptions!$C$68:$C$72,MATCH(B48,Assumptions!$A$68:$A$72,0))</f>
        <v>600000</v>
      </c>
      <c r="AA48" s="27" t="n">
        <f aca="false">INDEX(Assumptions!$D$68:$D$72,MATCH(B48,Assumptions!$A$68:$A$72,0))</f>
        <v>2500000</v>
      </c>
      <c r="AB48" s="27" t="n">
        <f aca="false">INDEX(Assumptions!$E$68:$E$72,MATCH(B48,Assumptions!$A$68:$A$72,0))</f>
        <v>1200000</v>
      </c>
      <c r="AC48" s="27" t="n">
        <f aca="false">MAX(0,C48-C47)*Assumptions!$B$58</f>
        <v>0</v>
      </c>
      <c r="AD48" s="27" t="n">
        <f aca="false">SUM(Y48:AC48)</f>
        <v>9300000</v>
      </c>
      <c r="AE48" s="17" t="n">
        <f aca="false">W48-AD48</f>
        <v>35842459.253676</v>
      </c>
      <c r="AF48" s="27" t="n">
        <f aca="false">AF47+AE48</f>
        <v>442009283.472694</v>
      </c>
    </row>
    <row r="49" customFormat="false" ht="15" hidden="false" customHeight="false" outlineLevel="0" collapsed="false">
      <c r="A49" s="25" t="n">
        <v>46</v>
      </c>
      <c r="B49" s="22" t="n">
        <f aca="false">ROUNDUP(A49/12,0)</f>
        <v>4</v>
      </c>
      <c r="C49" s="25" t="n">
        <f aca="false">COUNTIF(Assumptions!$B$51:$B$57,"&lt;="&amp;A49)</f>
        <v>6</v>
      </c>
      <c r="D49" s="26" t="n">
        <f aca="false">INDEX(Assumptions!$B$42:$B$46,MATCH(B49,Assumptions!$A$42:$A$46,0))</f>
        <v>4</v>
      </c>
      <c r="E49" s="26" t="n">
        <f aca="false">E48*(1-Assumptions!$B$33)+D49</f>
        <v>72.1609112189432</v>
      </c>
      <c r="F49" s="26" t="n">
        <f aca="false">MAX(0,E49-D49*(1-Assumptions!$B$31)-D48*(1-Assumptions!$B$32))</f>
        <v>68.7609112189432</v>
      </c>
      <c r="G49" s="26" t="n">
        <f aca="false">F49*Assumptions!$B$26</f>
        <v>412.565467313659</v>
      </c>
      <c r="H49" s="26" t="n">
        <f aca="false">K48+G49</f>
        <v>1051.3170069299</v>
      </c>
      <c r="I49" s="26" t="n">
        <f aca="false">MIN(F49*Assumptions!$B$27,H49*Assumptions!$B$28)</f>
        <v>2750.43644875773</v>
      </c>
      <c r="J49" s="26" t="n">
        <f aca="false">I49*Assumptions!$B$29</f>
        <v>330.052373850927</v>
      </c>
      <c r="K49" s="26" t="n">
        <f aca="false">MAX(0,H49-J49)*(1-Assumptions!$B$30)</f>
        <v>663.563462432654</v>
      </c>
      <c r="L49" s="27" t="n">
        <f aca="false">Assumptions!$B$14*(1+Assumptions!$B$15)^((A49-1)/12)</f>
        <v>1296269.44885336</v>
      </c>
      <c r="M49" s="27" t="n">
        <f aca="false">J49*L49*Assumptions!$B$18</f>
        <v>42783680.8744485</v>
      </c>
      <c r="N49" s="27" t="n">
        <f aca="false">MAX(0,I49-J49)*Assumptions!$B$19</f>
        <v>4840768.1498136</v>
      </c>
      <c r="O49" s="26" t="n">
        <f aca="false">O48*(1-Assumptions!$B$23/12)+IF(A49&gt;=Assumptions!$B$22,J49*Assumptions!$B$21,0)</f>
        <v>1401.87795073218</v>
      </c>
      <c r="P49" s="27" t="n">
        <f aca="false">O49*L49*Assumptions!$B$20/12</f>
        <v>11357572.2409705</v>
      </c>
      <c r="Q49" s="26" t="n">
        <f aca="false">IF(A49&gt;=Assumptions!$B$61,(A49-Assumptions!$B$61+1)*Assumptions!$B$64,0)</f>
        <v>6.6</v>
      </c>
      <c r="R49" s="27" t="n">
        <f aca="false">Q49*Assumptions!$B$62*Assumptions!$B$63</f>
        <v>9900000</v>
      </c>
      <c r="S49" s="17" t="n">
        <f aca="false">M49+N49+P49+R49</f>
        <v>68882021.2652326</v>
      </c>
      <c r="T49" s="27" t="n">
        <f aca="false">M49*Assumptions!$B$37+R49*Assumptions!$B$38</f>
        <v>15805104.2623345</v>
      </c>
      <c r="U49" s="27" t="n">
        <f aca="false">E49*Assumptions!$B$36</f>
        <v>5772872.89751546</v>
      </c>
      <c r="V49" s="27" t="n">
        <f aca="false">T49+U49</f>
        <v>21577977.15985</v>
      </c>
      <c r="W49" s="27" t="n">
        <f aca="false">S49-V49</f>
        <v>47304044.1053826</v>
      </c>
      <c r="X49" s="28" t="n">
        <f aca="false">IFERROR(W49/S49,0)</f>
        <v>0.686740069999351</v>
      </c>
      <c r="Y49" s="27" t="n">
        <f aca="false">INDEX(Assumptions!$B$68:$B$72,MATCH(B49,Assumptions!$A$68:$A$72,0))</f>
        <v>5000000</v>
      </c>
      <c r="Z49" s="27" t="n">
        <f aca="false">INDEX(Assumptions!$C$68:$C$72,MATCH(B49,Assumptions!$A$68:$A$72,0))</f>
        <v>600000</v>
      </c>
      <c r="AA49" s="27" t="n">
        <f aca="false">INDEX(Assumptions!$D$68:$D$72,MATCH(B49,Assumptions!$A$68:$A$72,0))</f>
        <v>2500000</v>
      </c>
      <c r="AB49" s="27" t="n">
        <f aca="false">INDEX(Assumptions!$E$68:$E$72,MATCH(B49,Assumptions!$A$68:$A$72,0))</f>
        <v>1200000</v>
      </c>
      <c r="AC49" s="27" t="n">
        <f aca="false">MAX(0,C49-C48)*Assumptions!$B$58</f>
        <v>0</v>
      </c>
      <c r="AD49" s="27" t="n">
        <f aca="false">SUM(Y49:AC49)</f>
        <v>9300000</v>
      </c>
      <c r="AE49" s="17" t="n">
        <f aca="false">W49-AD49</f>
        <v>38004044.1053826</v>
      </c>
      <c r="AF49" s="27" t="n">
        <f aca="false">AF48+AE49</f>
        <v>480013327.578076</v>
      </c>
    </row>
    <row r="50" customFormat="false" ht="15" hidden="false" customHeight="false" outlineLevel="0" collapsed="false">
      <c r="A50" s="25" t="n">
        <v>47</v>
      </c>
      <c r="B50" s="22" t="n">
        <f aca="false">ROUNDUP(A50/12,0)</f>
        <v>4</v>
      </c>
      <c r="C50" s="25" t="n">
        <f aca="false">COUNTIF(Assumptions!$B$51:$B$57,"&lt;="&amp;A50)</f>
        <v>6</v>
      </c>
      <c r="D50" s="26" t="n">
        <f aca="false">INDEX(Assumptions!$B$42:$B$46,MATCH(B50,Assumptions!$A$42:$A$46,0))</f>
        <v>4</v>
      </c>
      <c r="E50" s="26" t="n">
        <f aca="false">E49*(1-Assumptions!$B$33)+D50</f>
        <v>73.9960838823749</v>
      </c>
      <c r="F50" s="26" t="n">
        <f aca="false">MAX(0,E50-D50*(1-Assumptions!$B$31)-D49*(1-Assumptions!$B$32))</f>
        <v>70.5960838823749</v>
      </c>
      <c r="G50" s="26" t="n">
        <f aca="false">F50*Assumptions!$B$26</f>
        <v>423.57650329425</v>
      </c>
      <c r="H50" s="26" t="n">
        <f aca="false">K49+G50</f>
        <v>1087.1399657269</v>
      </c>
      <c r="I50" s="26" t="n">
        <f aca="false">MIN(F50*Assumptions!$B$27,H50*Assumptions!$B$28)</f>
        <v>2823.843355295</v>
      </c>
      <c r="J50" s="26" t="n">
        <f aca="false">I50*Assumptions!$B$29</f>
        <v>338.8612026354</v>
      </c>
      <c r="K50" s="26" t="n">
        <f aca="false">MAX(0,H50-J50)*(1-Assumptions!$B$30)</f>
        <v>688.416462044183</v>
      </c>
      <c r="L50" s="27" t="n">
        <f aca="false">Assumptions!$B$14*(1+Assumptions!$B$15)^((A50-1)/12)</f>
        <v>1311455.13775242</v>
      </c>
      <c r="M50" s="27" t="n">
        <f aca="false">J50*L50*Assumptions!$B$18</f>
        <v>44440126.5181159</v>
      </c>
      <c r="N50" s="27" t="n">
        <f aca="false">MAX(0,I50-J50)*Assumptions!$B$19</f>
        <v>4969964.30531919</v>
      </c>
      <c r="O50" s="26" t="n">
        <f aca="false">O49*(1-Assumptions!$B$23/12)+IF(A50&gt;=Assumptions!$B$22,J50*Assumptions!$B$21,0)</f>
        <v>1474.91093513493</v>
      </c>
      <c r="P50" s="27" t="n">
        <f aca="false">O50*L50*Assumptions!$B$20/12</f>
        <v>12089247.0225621</v>
      </c>
      <c r="Q50" s="26" t="n">
        <f aca="false">IF(A50&gt;=Assumptions!$B$61,(A50-Assumptions!$B$61+1)*Assumptions!$B$64,0)</f>
        <v>6.9</v>
      </c>
      <c r="R50" s="27" t="n">
        <f aca="false">Q50*Assumptions!$B$62*Assumptions!$B$63</f>
        <v>10350000</v>
      </c>
      <c r="S50" s="17" t="n">
        <f aca="false">M50+N50+P50+R50</f>
        <v>71849337.8459972</v>
      </c>
      <c r="T50" s="27" t="n">
        <f aca="false">M50*Assumptions!$B$37+R50*Assumptions!$B$38</f>
        <v>16437037.9554348</v>
      </c>
      <c r="U50" s="27" t="n">
        <f aca="false">E50*Assumptions!$B$36</f>
        <v>5919686.71058999</v>
      </c>
      <c r="V50" s="27" t="n">
        <f aca="false">T50+U50</f>
        <v>22356724.6660248</v>
      </c>
      <c r="W50" s="27" t="n">
        <f aca="false">S50-V50</f>
        <v>49492613.1799724</v>
      </c>
      <c r="X50" s="28" t="n">
        <f aca="false">IFERROR(W50/S50,0)</f>
        <v>0.688838821118373</v>
      </c>
      <c r="Y50" s="27" t="n">
        <f aca="false">INDEX(Assumptions!$B$68:$B$72,MATCH(B50,Assumptions!$A$68:$A$72,0))</f>
        <v>5000000</v>
      </c>
      <c r="Z50" s="27" t="n">
        <f aca="false">INDEX(Assumptions!$C$68:$C$72,MATCH(B50,Assumptions!$A$68:$A$72,0))</f>
        <v>600000</v>
      </c>
      <c r="AA50" s="27" t="n">
        <f aca="false">INDEX(Assumptions!$D$68:$D$72,MATCH(B50,Assumptions!$A$68:$A$72,0))</f>
        <v>2500000</v>
      </c>
      <c r="AB50" s="27" t="n">
        <f aca="false">INDEX(Assumptions!$E$68:$E$72,MATCH(B50,Assumptions!$A$68:$A$72,0))</f>
        <v>1200000</v>
      </c>
      <c r="AC50" s="27" t="n">
        <f aca="false">MAX(0,C50-C49)*Assumptions!$B$58</f>
        <v>0</v>
      </c>
      <c r="AD50" s="27" t="n">
        <f aca="false">SUM(Y50:AC50)</f>
        <v>9300000</v>
      </c>
      <c r="AE50" s="17" t="n">
        <f aca="false">W50-AD50</f>
        <v>40192613.1799724</v>
      </c>
      <c r="AF50" s="27" t="n">
        <f aca="false">AF49+AE50</f>
        <v>520205940.758049</v>
      </c>
    </row>
    <row r="51" customFormat="false" ht="15" hidden="false" customHeight="false" outlineLevel="0" collapsed="false">
      <c r="A51" s="29" t="n">
        <v>48</v>
      </c>
      <c r="B51" s="30" t="n">
        <f aca="false">ROUNDUP(A51/12,0)</f>
        <v>4</v>
      </c>
      <c r="C51" s="29" t="n">
        <f aca="false">COUNTIF(Assumptions!$B$51:$B$57,"&lt;="&amp;A51)</f>
        <v>6</v>
      </c>
      <c r="D51" s="31" t="n">
        <f aca="false">INDEX(Assumptions!$B$42:$B$46,MATCH(B51,Assumptions!$A$42:$A$46,0))</f>
        <v>4</v>
      </c>
      <c r="E51" s="31" t="n">
        <f aca="false">E50*(1-Assumptions!$B$33)+D51</f>
        <v>75.7762013659037</v>
      </c>
      <c r="F51" s="31" t="n">
        <f aca="false">MAX(0,E51-D51*(1-Assumptions!$B$31)-D50*(1-Assumptions!$B$32))</f>
        <v>72.3762013659037</v>
      </c>
      <c r="G51" s="31" t="n">
        <f aca="false">F51*Assumptions!$B$26</f>
        <v>434.257208195422</v>
      </c>
      <c r="H51" s="31" t="n">
        <f aca="false">K50+G51</f>
        <v>1122.67367023961</v>
      </c>
      <c r="I51" s="31" t="n">
        <f aca="false">MIN(F51*Assumptions!$B$27,H51*Assumptions!$B$28)</f>
        <v>2895.04805463615</v>
      </c>
      <c r="J51" s="31" t="n">
        <f aca="false">I51*Assumptions!$B$29</f>
        <v>347.405766556338</v>
      </c>
      <c r="K51" s="31" t="n">
        <f aca="false">MAX(0,H51-J51)*(1-Assumptions!$B$30)</f>
        <v>713.246471388606</v>
      </c>
      <c r="L51" s="32" t="n">
        <f aca="false">Assumptions!$B$14*(1+Assumptions!$B$15)^((A51-1)/12)</f>
        <v>1326818.7257353</v>
      </c>
      <c r="M51" s="32" t="n">
        <f aca="false">J51*L51*Assumptions!$B$18</f>
        <v>46094447.6495377</v>
      </c>
      <c r="N51" s="32" t="n">
        <f aca="false">MAX(0,I51-J51)*Assumptions!$B$19</f>
        <v>5095284.57615962</v>
      </c>
      <c r="O51" s="31" t="n">
        <f aca="false">O50*(1-Assumptions!$B$23/12)+IF(A51&gt;=Assumptions!$B$22,J51*Assumptions!$B$21,0)</f>
        <v>1549.47145231456</v>
      </c>
      <c r="P51" s="32" t="n">
        <f aca="false">O51*L51*Assumptions!$B$20/12</f>
        <v>12849173.3620202</v>
      </c>
      <c r="Q51" s="31" t="n">
        <f aca="false">IF(A51&gt;=Assumptions!$B$61,(A51-Assumptions!$B$61+1)*Assumptions!$B$64,0)</f>
        <v>7.2</v>
      </c>
      <c r="R51" s="32" t="n">
        <f aca="false">Q51*Assumptions!$B$62*Assumptions!$B$63</f>
        <v>10800000</v>
      </c>
      <c r="S51" s="33" t="n">
        <f aca="false">M51+N51+P51+R51</f>
        <v>74838905.5877175</v>
      </c>
      <c r="T51" s="32" t="n">
        <f aca="false">M51*Assumptions!$B$37+R51*Assumptions!$B$38</f>
        <v>17068334.2948613</v>
      </c>
      <c r="U51" s="32" t="n">
        <f aca="false">E51*Assumptions!$B$36</f>
        <v>6062096.10927229</v>
      </c>
      <c r="V51" s="32" t="n">
        <f aca="false">T51+U51</f>
        <v>23130430.4041336</v>
      </c>
      <c r="W51" s="32" t="n">
        <f aca="false">S51-V51</f>
        <v>51708475.1835839</v>
      </c>
      <c r="X51" s="34" t="n">
        <f aca="false">IFERROR(W51/S51,0)</f>
        <v>0.690930402810036</v>
      </c>
      <c r="Y51" s="32" t="n">
        <f aca="false">INDEX(Assumptions!$B$68:$B$72,MATCH(B51,Assumptions!$A$68:$A$72,0))</f>
        <v>5000000</v>
      </c>
      <c r="Z51" s="32" t="n">
        <f aca="false">INDEX(Assumptions!$C$68:$C$72,MATCH(B51,Assumptions!$A$68:$A$72,0))</f>
        <v>600000</v>
      </c>
      <c r="AA51" s="32" t="n">
        <f aca="false">INDEX(Assumptions!$D$68:$D$72,MATCH(B51,Assumptions!$A$68:$A$72,0))</f>
        <v>2500000</v>
      </c>
      <c r="AB51" s="32" t="n">
        <f aca="false">INDEX(Assumptions!$E$68:$E$72,MATCH(B51,Assumptions!$A$68:$A$72,0))</f>
        <v>1200000</v>
      </c>
      <c r="AC51" s="32" t="n">
        <f aca="false">MAX(0,C51-C50)*Assumptions!$B$58</f>
        <v>0</v>
      </c>
      <c r="AD51" s="32" t="n">
        <f aca="false">SUM(Y51:AC51)</f>
        <v>9300000</v>
      </c>
      <c r="AE51" s="33" t="n">
        <f aca="false">W51-AD51</f>
        <v>42408475.1835839</v>
      </c>
      <c r="AF51" s="32" t="n">
        <f aca="false">AF50+AE51</f>
        <v>562614415.941633</v>
      </c>
    </row>
    <row r="52" customFormat="false" ht="15" hidden="false" customHeight="false" outlineLevel="0" collapsed="false">
      <c r="A52" s="25" t="n">
        <v>49</v>
      </c>
      <c r="B52" s="22" t="n">
        <f aca="false">ROUNDUP(A52/12,0)</f>
        <v>5</v>
      </c>
      <c r="C52" s="25" t="n">
        <f aca="false">COUNTIF(Assumptions!$B$51:$B$57,"&lt;="&amp;A52)</f>
        <v>7</v>
      </c>
      <c r="D52" s="26" t="n">
        <f aca="false">INDEX(Assumptions!$B$42:$B$46,MATCH(B52,Assumptions!$A$42:$A$46,0))</f>
        <v>5</v>
      </c>
      <c r="E52" s="26" t="n">
        <f aca="false">E51*(1-Assumptions!$B$33)+D52</f>
        <v>78.5029153249266</v>
      </c>
      <c r="F52" s="26" t="n">
        <f aca="false">MAX(0,E52-D52*(1-Assumptions!$B$31)-D51*(1-Assumptions!$B$32))</f>
        <v>74.5029153249266</v>
      </c>
      <c r="G52" s="26" t="n">
        <f aca="false">F52*Assumptions!$B$26</f>
        <v>447.017491949559</v>
      </c>
      <c r="H52" s="26" t="n">
        <f aca="false">K51+G52</f>
        <v>1160.26396333817</v>
      </c>
      <c r="I52" s="26" t="n">
        <f aca="false">MIN(F52*Assumptions!$B$27,H52*Assumptions!$B$28)</f>
        <v>2980.11661299706</v>
      </c>
      <c r="J52" s="26" t="n">
        <f aca="false">I52*Assumptions!$B$29</f>
        <v>357.613993559648</v>
      </c>
      <c r="K52" s="26" t="n">
        <f aca="false">MAX(0,H52-J52)*(1-Assumptions!$B$30)</f>
        <v>738.437972196237</v>
      </c>
      <c r="L52" s="27" t="n">
        <f aca="false">Assumptions!$B$14*(1+Assumptions!$B$15)^((A52-1)/12)</f>
        <v>1342362.296875</v>
      </c>
      <c r="M52" s="27" t="n">
        <f aca="false">J52*L52*Assumptions!$B$18</f>
        <v>48004754.178937</v>
      </c>
      <c r="N52" s="27" t="n">
        <f aca="false">MAX(0,I52-J52)*Assumptions!$B$19</f>
        <v>5245005.23887483</v>
      </c>
      <c r="O52" s="26" t="n">
        <f aca="false">O51*(1-Assumptions!$B$23/12)+IF(A52&gt;=Assumptions!$B$22,J52*Assumptions!$B$21,0)</f>
        <v>1625.96268860185</v>
      </c>
      <c r="P52" s="27" t="n">
        <f aca="false">O52*L52*Assumptions!$B$20/12</f>
        <v>13641443.8081539</v>
      </c>
      <c r="Q52" s="26" t="n">
        <f aca="false">IF(A52&gt;=Assumptions!$B$61,(A52-Assumptions!$B$61+1)*Assumptions!$B$64,0)</f>
        <v>7.5</v>
      </c>
      <c r="R52" s="27" t="n">
        <f aca="false">Q52*Assumptions!$B$62*Assumptions!$B$63</f>
        <v>11250000</v>
      </c>
      <c r="S52" s="17" t="n">
        <f aca="false">M52+N52+P52+R52</f>
        <v>78141203.2259657</v>
      </c>
      <c r="T52" s="27" t="n">
        <f aca="false">M52*Assumptions!$B$37+R52*Assumptions!$B$38</f>
        <v>17776426.2536811</v>
      </c>
      <c r="U52" s="27" t="n">
        <f aca="false">E52*Assumptions!$B$36</f>
        <v>6280233.22599413</v>
      </c>
      <c r="V52" s="27" t="n">
        <f aca="false">T52+U52</f>
        <v>24056659.4796752</v>
      </c>
      <c r="W52" s="27" t="n">
        <f aca="false">S52-V52</f>
        <v>54084543.7462905</v>
      </c>
      <c r="X52" s="28" t="n">
        <f aca="false">IFERROR(W52/S52,0)</f>
        <v>0.692138609510413</v>
      </c>
      <c r="Y52" s="27" t="n">
        <f aca="false">INDEX(Assumptions!$B$68:$B$72,MATCH(B52,Assumptions!$A$68:$A$72,0))</f>
        <v>8000000</v>
      </c>
      <c r="Z52" s="27" t="n">
        <f aca="false">INDEX(Assumptions!$C$68:$C$72,MATCH(B52,Assumptions!$A$68:$A$72,0))</f>
        <v>900000</v>
      </c>
      <c r="AA52" s="27" t="n">
        <f aca="false">INDEX(Assumptions!$D$68:$D$72,MATCH(B52,Assumptions!$A$68:$A$72,0))</f>
        <v>4000000</v>
      </c>
      <c r="AB52" s="27" t="n">
        <f aca="false">INDEX(Assumptions!$E$68:$E$72,MATCH(B52,Assumptions!$A$68:$A$72,0))</f>
        <v>1800000</v>
      </c>
      <c r="AC52" s="27" t="n">
        <f aca="false">MAX(0,C52-C51)*Assumptions!$B$58</f>
        <v>1500000</v>
      </c>
      <c r="AD52" s="27" t="n">
        <f aca="false">SUM(Y52:AC52)</f>
        <v>16200000</v>
      </c>
      <c r="AE52" s="17" t="n">
        <f aca="false">W52-AD52</f>
        <v>37884543.7462905</v>
      </c>
      <c r="AF52" s="27" t="n">
        <f aca="false">AF51+AE52</f>
        <v>600498959.687923</v>
      </c>
    </row>
    <row r="53" customFormat="false" ht="15" hidden="false" customHeight="false" outlineLevel="0" collapsed="false">
      <c r="A53" s="25" t="n">
        <v>50</v>
      </c>
      <c r="B53" s="22" t="n">
        <f aca="false">ROUNDUP(A53/12,0)</f>
        <v>5</v>
      </c>
      <c r="C53" s="25" t="n">
        <f aca="false">COUNTIF(Assumptions!$B$51:$B$57,"&lt;="&amp;A53)</f>
        <v>7</v>
      </c>
      <c r="D53" s="26" t="n">
        <f aca="false">INDEX(Assumptions!$B$42:$B$46,MATCH(B53,Assumptions!$A$42:$A$46,0))</f>
        <v>5</v>
      </c>
      <c r="E53" s="26" t="n">
        <f aca="false">E52*(1-Assumptions!$B$33)+D53</f>
        <v>81.1478278651788</v>
      </c>
      <c r="F53" s="26" t="n">
        <f aca="false">MAX(0,E53-D53*(1-Assumptions!$B$31)-D52*(1-Assumptions!$B$32))</f>
        <v>76.8978278651788</v>
      </c>
      <c r="G53" s="26" t="n">
        <f aca="false">F53*Assumptions!$B$26</f>
        <v>461.386967191073</v>
      </c>
      <c r="H53" s="26" t="n">
        <f aca="false">K52+G53</f>
        <v>1199.82493938731</v>
      </c>
      <c r="I53" s="26" t="n">
        <f aca="false">MIN(F53*Assumptions!$B$27,H53*Assumptions!$B$28)</f>
        <v>3075.91311460715</v>
      </c>
      <c r="J53" s="26" t="n">
        <f aca="false">I53*Assumptions!$B$29</f>
        <v>369.109573752858</v>
      </c>
      <c r="K53" s="26" t="n">
        <f aca="false">MAX(0,H53-J53)*(1-Assumptions!$B$30)</f>
        <v>764.258136383695</v>
      </c>
      <c r="L53" s="27" t="n">
        <f aca="false">Assumptions!$B$14*(1+Assumptions!$B$15)^((A53-1)/12)</f>
        <v>1358087.95965923</v>
      </c>
      <c r="M53" s="27" t="n">
        <f aca="false">J53*L53*Assumptions!$B$18</f>
        <v>50128326.7908708</v>
      </c>
      <c r="N53" s="27" t="n">
        <f aca="false">MAX(0,I53-J53)*Assumptions!$B$19</f>
        <v>5413607.08170859</v>
      </c>
      <c r="O53" s="26" t="n">
        <f aca="false">O52*(1-Assumptions!$B$23/12)+IF(A53&gt;=Assumptions!$B$22,J53*Assumptions!$B$21,0)</f>
        <v>1704.69039296838</v>
      </c>
      <c r="P53" s="27" t="n">
        <f aca="false">O53*L53*Assumptions!$B$20/12</f>
        <v>14469496.860232</v>
      </c>
      <c r="Q53" s="26" t="n">
        <f aca="false">IF(A53&gt;=Assumptions!$B$61,(A53-Assumptions!$B$61+1)*Assumptions!$B$64,0)</f>
        <v>7.8</v>
      </c>
      <c r="R53" s="27" t="n">
        <f aca="false">Q53*Assumptions!$B$62*Assumptions!$B$63</f>
        <v>11700000</v>
      </c>
      <c r="S53" s="17" t="n">
        <f aca="false">M53+N53+P53+R53</f>
        <v>81711430.7328115</v>
      </c>
      <c r="T53" s="27" t="n">
        <f aca="false">M53*Assumptions!$B$37+R53*Assumptions!$B$38</f>
        <v>18548498.0372613</v>
      </c>
      <c r="U53" s="27" t="n">
        <f aca="false">E53*Assumptions!$B$36</f>
        <v>6491826.2292143</v>
      </c>
      <c r="V53" s="27" t="n">
        <f aca="false">T53+U53</f>
        <v>25040324.2664756</v>
      </c>
      <c r="W53" s="27" t="n">
        <f aca="false">S53-V53</f>
        <v>56671106.4663359</v>
      </c>
      <c r="X53" s="28" t="n">
        <f aca="false">IFERROR(W53/S53,0)</f>
        <v>0.693551758402628</v>
      </c>
      <c r="Y53" s="27" t="n">
        <f aca="false">INDEX(Assumptions!$B$68:$B$72,MATCH(B53,Assumptions!$A$68:$A$72,0))</f>
        <v>8000000</v>
      </c>
      <c r="Z53" s="27" t="n">
        <f aca="false">INDEX(Assumptions!$C$68:$C$72,MATCH(B53,Assumptions!$A$68:$A$72,0))</f>
        <v>900000</v>
      </c>
      <c r="AA53" s="27" t="n">
        <f aca="false">INDEX(Assumptions!$D$68:$D$72,MATCH(B53,Assumptions!$A$68:$A$72,0))</f>
        <v>4000000</v>
      </c>
      <c r="AB53" s="27" t="n">
        <f aca="false">INDEX(Assumptions!$E$68:$E$72,MATCH(B53,Assumptions!$A$68:$A$72,0))</f>
        <v>1800000</v>
      </c>
      <c r="AC53" s="27" t="n">
        <f aca="false">MAX(0,C53-C52)*Assumptions!$B$58</f>
        <v>0</v>
      </c>
      <c r="AD53" s="27" t="n">
        <f aca="false">SUM(Y53:AC53)</f>
        <v>14700000</v>
      </c>
      <c r="AE53" s="17" t="n">
        <f aca="false">W53-AD53</f>
        <v>41971106.4663359</v>
      </c>
      <c r="AF53" s="27" t="n">
        <f aca="false">AF52+AE53</f>
        <v>642470066.154259</v>
      </c>
    </row>
    <row r="54" customFormat="false" ht="15" hidden="false" customHeight="false" outlineLevel="0" collapsed="false">
      <c r="A54" s="25" t="n">
        <v>51</v>
      </c>
      <c r="B54" s="22" t="n">
        <f aca="false">ROUNDUP(A54/12,0)</f>
        <v>5</v>
      </c>
      <c r="C54" s="25" t="n">
        <f aca="false">COUNTIF(Assumptions!$B$51:$B$57,"&lt;="&amp;A54)</f>
        <v>7</v>
      </c>
      <c r="D54" s="26" t="n">
        <f aca="false">INDEX(Assumptions!$B$42:$B$46,MATCH(B54,Assumptions!$A$42:$A$46,0))</f>
        <v>5</v>
      </c>
      <c r="E54" s="26" t="n">
        <f aca="false">E53*(1-Assumptions!$B$33)+D54</f>
        <v>83.7133930292234</v>
      </c>
      <c r="F54" s="26" t="n">
        <f aca="false">MAX(0,E54-D54*(1-Assumptions!$B$31)-D53*(1-Assumptions!$B$32))</f>
        <v>79.4633930292234</v>
      </c>
      <c r="G54" s="26" t="n">
        <f aca="false">F54*Assumptions!$B$26</f>
        <v>476.78035817534</v>
      </c>
      <c r="H54" s="26" t="n">
        <f aca="false">K53+G54</f>
        <v>1241.03849455904</v>
      </c>
      <c r="I54" s="26" t="n">
        <f aca="false">MIN(F54*Assumptions!$B$27,H54*Assumptions!$B$28)</f>
        <v>3178.53572116894</v>
      </c>
      <c r="J54" s="26" t="n">
        <f aca="false">I54*Assumptions!$B$29</f>
        <v>381.424286540272</v>
      </c>
      <c r="K54" s="26" t="n">
        <f aca="false">MAX(0,H54-J54)*(1-Assumptions!$B$30)</f>
        <v>790.845071377262</v>
      </c>
      <c r="L54" s="27" t="n">
        <f aca="false">Assumptions!$B$14*(1+Assumptions!$B$15)^((A54-1)/12)</f>
        <v>1373997.84727649</v>
      </c>
      <c r="M54" s="27" t="n">
        <f aca="false">J54*L54*Assumptions!$B$18</f>
        <v>52407614.8605307</v>
      </c>
      <c r="N54" s="27" t="n">
        <f aca="false">MAX(0,I54-J54)*Assumptions!$B$19</f>
        <v>5594222.86925733</v>
      </c>
      <c r="O54" s="26" t="n">
        <f aca="false">O53*(1-Assumptions!$B$23/12)+IF(A54&gt;=Assumptions!$B$22,J54*Assumptions!$B$21,0)</f>
        <v>1785.84071132871</v>
      </c>
      <c r="P54" s="27" t="n">
        <f aca="false">O54*L54*Assumptions!$B$20/12</f>
        <v>15335883.0809024</v>
      </c>
      <c r="Q54" s="26" t="n">
        <f aca="false">IF(A54&gt;=Assumptions!$B$61,(A54-Assumptions!$B$61+1)*Assumptions!$B$64,0)</f>
        <v>8.1</v>
      </c>
      <c r="R54" s="27" t="n">
        <f aca="false">Q54*Assumptions!$B$62*Assumptions!$B$63</f>
        <v>12150000</v>
      </c>
      <c r="S54" s="17" t="n">
        <f aca="false">M54+N54+P54+R54</f>
        <v>85487720.8106904</v>
      </c>
      <c r="T54" s="27" t="n">
        <f aca="false">M54*Assumptions!$B$37+R54*Assumptions!$B$38</f>
        <v>19367284.4581592</v>
      </c>
      <c r="U54" s="27" t="n">
        <f aca="false">E54*Assumptions!$B$36</f>
        <v>6697071.44233787</v>
      </c>
      <c r="V54" s="27" t="n">
        <f aca="false">T54+U54</f>
        <v>26064355.9004971</v>
      </c>
      <c r="W54" s="27" t="n">
        <f aca="false">S54-V54</f>
        <v>59423364.9101933</v>
      </c>
      <c r="X54" s="28" t="n">
        <f aca="false">IFERROR(W54/S54,0)</f>
        <v>0.6951099449918</v>
      </c>
      <c r="Y54" s="27" t="n">
        <f aca="false">INDEX(Assumptions!$B$68:$B$72,MATCH(B54,Assumptions!$A$68:$A$72,0))</f>
        <v>8000000</v>
      </c>
      <c r="Z54" s="27" t="n">
        <f aca="false">INDEX(Assumptions!$C$68:$C$72,MATCH(B54,Assumptions!$A$68:$A$72,0))</f>
        <v>900000</v>
      </c>
      <c r="AA54" s="27" t="n">
        <f aca="false">INDEX(Assumptions!$D$68:$D$72,MATCH(B54,Assumptions!$A$68:$A$72,0))</f>
        <v>4000000</v>
      </c>
      <c r="AB54" s="27" t="n">
        <f aca="false">INDEX(Assumptions!$E$68:$E$72,MATCH(B54,Assumptions!$A$68:$A$72,0))</f>
        <v>1800000</v>
      </c>
      <c r="AC54" s="27" t="n">
        <f aca="false">MAX(0,C54-C53)*Assumptions!$B$58</f>
        <v>0</v>
      </c>
      <c r="AD54" s="27" t="n">
        <f aca="false">SUM(Y54:AC54)</f>
        <v>14700000</v>
      </c>
      <c r="AE54" s="17" t="n">
        <f aca="false">W54-AD54</f>
        <v>44723364.9101933</v>
      </c>
      <c r="AF54" s="27" t="n">
        <f aca="false">AF53+AE54</f>
        <v>687193431.064452</v>
      </c>
    </row>
    <row r="55" customFormat="false" ht="15" hidden="false" customHeight="false" outlineLevel="0" collapsed="false">
      <c r="A55" s="25" t="n">
        <v>52</v>
      </c>
      <c r="B55" s="22" t="n">
        <f aca="false">ROUNDUP(A55/12,0)</f>
        <v>5</v>
      </c>
      <c r="C55" s="25" t="n">
        <f aca="false">COUNTIF(Assumptions!$B$51:$B$57,"&lt;="&amp;A55)</f>
        <v>7</v>
      </c>
      <c r="D55" s="26" t="n">
        <f aca="false">INDEX(Assumptions!$B$42:$B$46,MATCH(B55,Assumptions!$A$42:$A$46,0))</f>
        <v>5</v>
      </c>
      <c r="E55" s="26" t="n">
        <f aca="false">E54*(1-Assumptions!$B$33)+D55</f>
        <v>86.2019912383467</v>
      </c>
      <c r="F55" s="26" t="n">
        <f aca="false">MAX(0,E55-D55*(1-Assumptions!$B$31)-D54*(1-Assumptions!$B$32))</f>
        <v>81.9519912383467</v>
      </c>
      <c r="G55" s="26" t="n">
        <f aca="false">F55*Assumptions!$B$26</f>
        <v>491.71194743008</v>
      </c>
      <c r="H55" s="26" t="n">
        <f aca="false">K54+G55</f>
        <v>1282.55701880734</v>
      </c>
      <c r="I55" s="26" t="n">
        <f aca="false">MIN(F55*Assumptions!$B$27,H55*Assumptions!$B$28)</f>
        <v>3278.07964953387</v>
      </c>
      <c r="J55" s="26" t="n">
        <f aca="false">I55*Assumptions!$B$29</f>
        <v>393.369557944064</v>
      </c>
      <c r="K55" s="26" t="n">
        <f aca="false">MAX(0,H55-J55)*(1-Assumptions!$B$30)</f>
        <v>818.052463994216</v>
      </c>
      <c r="L55" s="27" t="n">
        <f aca="false">Assumptions!$B$14*(1+Assumptions!$B$15)^((A55-1)/12)</f>
        <v>1390094.1179054</v>
      </c>
      <c r="M55" s="27" t="n">
        <f aca="false">J55*L55*Assumptions!$B$18</f>
        <v>54682070.8661089</v>
      </c>
      <c r="N55" s="27" t="n">
        <f aca="false">MAX(0,I55-J55)*Assumptions!$B$19</f>
        <v>5769420.18317961</v>
      </c>
      <c r="O55" s="26" t="n">
        <f aca="false">O54*(1-Assumptions!$B$23/12)+IF(A55&gt;=Assumptions!$B$22,J55*Assumptions!$B$21,0)</f>
        <v>1869.30109488699</v>
      </c>
      <c r="P55" s="27" t="n">
        <f aca="false">O55*L55*Assumptions!$B$20/12</f>
        <v>16240652.8537283</v>
      </c>
      <c r="Q55" s="26" t="n">
        <f aca="false">IF(A55&gt;=Assumptions!$B$61,(A55-Assumptions!$B$61+1)*Assumptions!$B$64,0)</f>
        <v>8.4</v>
      </c>
      <c r="R55" s="27" t="n">
        <f aca="false">Q55*Assumptions!$B$62*Assumptions!$B$63</f>
        <v>12600000</v>
      </c>
      <c r="S55" s="17" t="n">
        <f aca="false">M55+N55+P55+R55</f>
        <v>89292143.9030168</v>
      </c>
      <c r="T55" s="27" t="n">
        <f aca="false">M55*Assumptions!$B$37+R55*Assumptions!$B$38</f>
        <v>20184621.2598327</v>
      </c>
      <c r="U55" s="27" t="n">
        <f aca="false">E55*Assumptions!$B$36</f>
        <v>6896159.29906774</v>
      </c>
      <c r="V55" s="27" t="n">
        <f aca="false">T55+U55</f>
        <v>27080780.5589004</v>
      </c>
      <c r="W55" s="27" t="n">
        <f aca="false">S55-V55</f>
        <v>62211363.3441164</v>
      </c>
      <c r="X55" s="28" t="n">
        <f aca="false">IFERROR(W55/S55,0)</f>
        <v>0.696717097661875</v>
      </c>
      <c r="Y55" s="27" t="n">
        <f aca="false">INDEX(Assumptions!$B$68:$B$72,MATCH(B55,Assumptions!$A$68:$A$72,0))</f>
        <v>8000000</v>
      </c>
      <c r="Z55" s="27" t="n">
        <f aca="false">INDEX(Assumptions!$C$68:$C$72,MATCH(B55,Assumptions!$A$68:$A$72,0))</f>
        <v>900000</v>
      </c>
      <c r="AA55" s="27" t="n">
        <f aca="false">INDEX(Assumptions!$D$68:$D$72,MATCH(B55,Assumptions!$A$68:$A$72,0))</f>
        <v>4000000</v>
      </c>
      <c r="AB55" s="27" t="n">
        <f aca="false">INDEX(Assumptions!$E$68:$E$72,MATCH(B55,Assumptions!$A$68:$A$72,0))</f>
        <v>1800000</v>
      </c>
      <c r="AC55" s="27" t="n">
        <f aca="false">MAX(0,C55-C54)*Assumptions!$B$58</f>
        <v>0</v>
      </c>
      <c r="AD55" s="27" t="n">
        <f aca="false">SUM(Y55:AC55)</f>
        <v>14700000</v>
      </c>
      <c r="AE55" s="17" t="n">
        <f aca="false">W55-AD55</f>
        <v>47511363.3441164</v>
      </c>
      <c r="AF55" s="27" t="n">
        <f aca="false">AF54+AE55</f>
        <v>734704794.408569</v>
      </c>
    </row>
    <row r="56" customFormat="false" ht="15" hidden="false" customHeight="false" outlineLevel="0" collapsed="false">
      <c r="A56" s="25" t="n">
        <v>53</v>
      </c>
      <c r="B56" s="22" t="n">
        <f aca="false">ROUNDUP(A56/12,0)</f>
        <v>5</v>
      </c>
      <c r="C56" s="25" t="n">
        <f aca="false">COUNTIF(Assumptions!$B$51:$B$57,"&lt;="&amp;A56)</f>
        <v>7</v>
      </c>
      <c r="D56" s="26" t="n">
        <f aca="false">INDEX(Assumptions!$B$42:$B$46,MATCH(B56,Assumptions!$A$42:$A$46,0))</f>
        <v>5</v>
      </c>
      <c r="E56" s="26" t="n">
        <f aca="false">E55*(1-Assumptions!$B$33)+D56</f>
        <v>88.6159315011963</v>
      </c>
      <c r="F56" s="26" t="n">
        <f aca="false">MAX(0,E56-D56*(1-Assumptions!$B$31)-D55*(1-Assumptions!$B$32))</f>
        <v>84.3659315011963</v>
      </c>
      <c r="G56" s="26" t="n">
        <f aca="false">F56*Assumptions!$B$26</f>
        <v>506.195589007178</v>
      </c>
      <c r="H56" s="26" t="n">
        <f aca="false">K55+G56</f>
        <v>1324.24805300139</v>
      </c>
      <c r="I56" s="26" t="n">
        <f aca="false">MIN(F56*Assumptions!$B$27,H56*Assumptions!$B$28)</f>
        <v>3374.63726004785</v>
      </c>
      <c r="J56" s="26" t="n">
        <f aca="false">I56*Assumptions!$B$29</f>
        <v>404.956471205742</v>
      </c>
      <c r="K56" s="26" t="n">
        <f aca="false">MAX(0,H56-J56)*(1-Assumptions!$B$30)</f>
        <v>845.748255252</v>
      </c>
      <c r="L56" s="27" t="n">
        <f aca="false">Assumptions!$B$14*(1+Assumptions!$B$15)^((A56-1)/12)</f>
        <v>1406378.95500743</v>
      </c>
      <c r="M56" s="27" t="n">
        <f aca="false">J56*L56*Assumptions!$B$18</f>
        <v>56952225.879783</v>
      </c>
      <c r="N56" s="27" t="n">
        <f aca="false">MAX(0,I56-J56)*Assumptions!$B$19</f>
        <v>5939361.57768422</v>
      </c>
      <c r="O56" s="26" t="n">
        <f aca="false">O55*(1-Assumptions!$B$23/12)+IF(A56&gt;=Assumptions!$B$22,J56*Assumptions!$B$21,0)</f>
        <v>1954.96270356437</v>
      </c>
      <c r="P56" s="27" t="n">
        <f aca="false">O56*L56*Assumptions!$B$20/12</f>
        <v>17183865.0257335</v>
      </c>
      <c r="Q56" s="26" t="n">
        <f aca="false">IF(A56&gt;=Assumptions!$B$61,(A56-Assumptions!$B$61+1)*Assumptions!$B$64,0)</f>
        <v>8.7</v>
      </c>
      <c r="R56" s="27" t="n">
        <f aca="false">Q56*Assumptions!$B$62*Assumptions!$B$63</f>
        <v>13050000</v>
      </c>
      <c r="S56" s="17" t="n">
        <f aca="false">M56+N56+P56+R56</f>
        <v>93125452.4832007</v>
      </c>
      <c r="T56" s="27" t="n">
        <f aca="false">M56*Assumptions!$B$37+R56*Assumptions!$B$38</f>
        <v>21000667.7639349</v>
      </c>
      <c r="U56" s="27" t="n">
        <f aca="false">E56*Assumptions!$B$36</f>
        <v>7089274.5200957</v>
      </c>
      <c r="V56" s="27" t="n">
        <f aca="false">T56+U56</f>
        <v>28089942.2840306</v>
      </c>
      <c r="W56" s="27" t="n">
        <f aca="false">S56-V56</f>
        <v>65035510.1991701</v>
      </c>
      <c r="X56" s="28" t="n">
        <f aca="false">IFERROR(W56/S56,0)</f>
        <v>0.698364501486875</v>
      </c>
      <c r="Y56" s="27" t="n">
        <f aca="false">INDEX(Assumptions!$B$68:$B$72,MATCH(B56,Assumptions!$A$68:$A$72,0))</f>
        <v>8000000</v>
      </c>
      <c r="Z56" s="27" t="n">
        <f aca="false">INDEX(Assumptions!$C$68:$C$72,MATCH(B56,Assumptions!$A$68:$A$72,0))</f>
        <v>900000</v>
      </c>
      <c r="AA56" s="27" t="n">
        <f aca="false">INDEX(Assumptions!$D$68:$D$72,MATCH(B56,Assumptions!$A$68:$A$72,0))</f>
        <v>4000000</v>
      </c>
      <c r="AB56" s="27" t="n">
        <f aca="false">INDEX(Assumptions!$E$68:$E$72,MATCH(B56,Assumptions!$A$68:$A$72,0))</f>
        <v>1800000</v>
      </c>
      <c r="AC56" s="27" t="n">
        <f aca="false">MAX(0,C56-C55)*Assumptions!$B$58</f>
        <v>0</v>
      </c>
      <c r="AD56" s="27" t="n">
        <f aca="false">SUM(Y56:AC56)</f>
        <v>14700000</v>
      </c>
      <c r="AE56" s="17" t="n">
        <f aca="false">W56-AD56</f>
        <v>50335510.1991701</v>
      </c>
      <c r="AF56" s="27" t="n">
        <f aca="false">AF55+AE56</f>
        <v>785040304.607739</v>
      </c>
    </row>
    <row r="57" customFormat="false" ht="15" hidden="false" customHeight="false" outlineLevel="0" collapsed="false">
      <c r="A57" s="25" t="n">
        <v>54</v>
      </c>
      <c r="B57" s="22" t="n">
        <f aca="false">ROUNDUP(A57/12,0)</f>
        <v>5</v>
      </c>
      <c r="C57" s="25" t="n">
        <f aca="false">COUNTIF(Assumptions!$B$51:$B$57,"&lt;="&amp;A57)</f>
        <v>7</v>
      </c>
      <c r="D57" s="26" t="n">
        <f aca="false">INDEX(Assumptions!$B$42:$B$46,MATCH(B57,Assumptions!$A$42:$A$46,0))</f>
        <v>5</v>
      </c>
      <c r="E57" s="26" t="n">
        <f aca="false">E56*(1-Assumptions!$B$33)+D57</f>
        <v>90.9574535561604</v>
      </c>
      <c r="F57" s="26" t="n">
        <f aca="false">MAX(0,E57-D57*(1-Assumptions!$B$31)-D56*(1-Assumptions!$B$32))</f>
        <v>86.7074535561604</v>
      </c>
      <c r="G57" s="26" t="n">
        <f aca="false">F57*Assumptions!$B$26</f>
        <v>520.244721336962</v>
      </c>
      <c r="H57" s="26" t="n">
        <f aca="false">K56+G57</f>
        <v>1365.99297658896</v>
      </c>
      <c r="I57" s="26" t="n">
        <f aca="false">MIN(F57*Assumptions!$B$27,H57*Assumptions!$B$28)</f>
        <v>3468.29814224642</v>
      </c>
      <c r="J57" s="26" t="n">
        <f aca="false">I57*Assumptions!$B$29</f>
        <v>416.19577706957</v>
      </c>
      <c r="K57" s="26" t="n">
        <f aca="false">MAX(0,H57-J57)*(1-Assumptions!$B$30)</f>
        <v>873.813423557841</v>
      </c>
      <c r="L57" s="27" t="n">
        <f aca="false">Assumptions!$B$14*(1+Assumptions!$B$15)^((A57-1)/12)</f>
        <v>1422854.56762318</v>
      </c>
      <c r="M57" s="27" t="n">
        <f aca="false">J57*L57*Assumptions!$B$18</f>
        <v>59218606.2428915</v>
      </c>
      <c r="N57" s="27" t="n">
        <f aca="false">MAX(0,I57-J57)*Assumptions!$B$19</f>
        <v>6104204.73035369</v>
      </c>
      <c r="O57" s="26" t="n">
        <f aca="false">O56*(1-Assumptions!$B$23/12)+IF(A57&gt;=Assumptions!$B$22,J57*Assumptions!$B$21,0)</f>
        <v>2042.72029196872</v>
      </c>
      <c r="P57" s="27" t="n">
        <f aca="false">O57*L57*Assumptions!$B$20/12</f>
        <v>18165586.8612766</v>
      </c>
      <c r="Q57" s="26" t="n">
        <f aca="false">IF(A57&gt;=Assumptions!$B$61,(A57-Assumptions!$B$61+1)*Assumptions!$B$64,0)</f>
        <v>9</v>
      </c>
      <c r="R57" s="27" t="n">
        <f aca="false">Q57*Assumptions!$B$62*Assumptions!$B$63</f>
        <v>13500000</v>
      </c>
      <c r="S57" s="17" t="n">
        <f aca="false">M57+N57+P57+R57</f>
        <v>96988397.8345217</v>
      </c>
      <c r="T57" s="27" t="n">
        <f aca="false">M57*Assumptions!$B$37+R57*Assumptions!$B$38</f>
        <v>21815581.8728674</v>
      </c>
      <c r="U57" s="27" t="n">
        <f aca="false">E57*Assumptions!$B$36</f>
        <v>7276596.28449283</v>
      </c>
      <c r="V57" s="27" t="n">
        <f aca="false">T57+U57</f>
        <v>29092178.1573603</v>
      </c>
      <c r="W57" s="27" t="n">
        <f aca="false">S57-V57</f>
        <v>67896219.6771615</v>
      </c>
      <c r="X57" s="28" t="n">
        <f aca="false">IFERROR(W57/S57,0)</f>
        <v>0.700044759920704</v>
      </c>
      <c r="Y57" s="27" t="n">
        <f aca="false">INDEX(Assumptions!$B$68:$B$72,MATCH(B57,Assumptions!$A$68:$A$72,0))</f>
        <v>8000000</v>
      </c>
      <c r="Z57" s="27" t="n">
        <f aca="false">INDEX(Assumptions!$C$68:$C$72,MATCH(B57,Assumptions!$A$68:$A$72,0))</f>
        <v>900000</v>
      </c>
      <c r="AA57" s="27" t="n">
        <f aca="false">INDEX(Assumptions!$D$68:$D$72,MATCH(B57,Assumptions!$A$68:$A$72,0))</f>
        <v>4000000</v>
      </c>
      <c r="AB57" s="27" t="n">
        <f aca="false">INDEX(Assumptions!$E$68:$E$72,MATCH(B57,Assumptions!$A$68:$A$72,0))</f>
        <v>1800000</v>
      </c>
      <c r="AC57" s="27" t="n">
        <f aca="false">MAX(0,C57-C56)*Assumptions!$B$58</f>
        <v>0</v>
      </c>
      <c r="AD57" s="27" t="n">
        <f aca="false">SUM(Y57:AC57)</f>
        <v>14700000</v>
      </c>
      <c r="AE57" s="17" t="n">
        <f aca="false">W57-AD57</f>
        <v>53196219.6771615</v>
      </c>
      <c r="AF57" s="27" t="n">
        <f aca="false">AF56+AE57</f>
        <v>838236524.2849</v>
      </c>
    </row>
    <row r="58" customFormat="false" ht="15" hidden="false" customHeight="false" outlineLevel="0" collapsed="false">
      <c r="A58" s="25" t="n">
        <v>55</v>
      </c>
      <c r="B58" s="22" t="n">
        <f aca="false">ROUNDUP(A58/12,0)</f>
        <v>5</v>
      </c>
      <c r="C58" s="25" t="n">
        <f aca="false">COUNTIF(Assumptions!$B$51:$B$57,"&lt;="&amp;A58)</f>
        <v>7</v>
      </c>
      <c r="D58" s="26" t="n">
        <f aca="false">INDEX(Assumptions!$B$42:$B$46,MATCH(B58,Assumptions!$A$42:$A$46,0))</f>
        <v>5</v>
      </c>
      <c r="E58" s="26" t="n">
        <f aca="false">E57*(1-Assumptions!$B$33)+D58</f>
        <v>93.2287299494756</v>
      </c>
      <c r="F58" s="26" t="n">
        <f aca="false">MAX(0,E58-D58*(1-Assumptions!$B$31)-D57*(1-Assumptions!$B$32))</f>
        <v>88.9787299494756</v>
      </c>
      <c r="G58" s="26" t="n">
        <f aca="false">F58*Assumptions!$B$26</f>
        <v>533.872379696854</v>
      </c>
      <c r="H58" s="26" t="n">
        <f aca="false">K57+G58</f>
        <v>1407.68580325469</v>
      </c>
      <c r="I58" s="26" t="n">
        <f aca="false">MIN(F58*Assumptions!$B$27,H58*Assumptions!$B$28)</f>
        <v>3559.14919797902</v>
      </c>
      <c r="J58" s="26" t="n">
        <f aca="false">I58*Assumptions!$B$29</f>
        <v>427.097903757483</v>
      </c>
      <c r="K58" s="26" t="n">
        <f aca="false">MAX(0,H58-J58)*(1-Assumptions!$B$30)</f>
        <v>902.140867537435</v>
      </c>
      <c r="L58" s="27" t="n">
        <f aca="false">Assumptions!$B$14*(1+Assumptions!$B$15)^((A58-1)/12)</f>
        <v>1439523.19067192</v>
      </c>
      <c r="M58" s="27" t="n">
        <f aca="false">J58*L58*Assumptions!$B$18</f>
        <v>61481733.7146259</v>
      </c>
      <c r="N58" s="27" t="n">
        <f aca="false">MAX(0,I58-J58)*Assumptions!$B$19</f>
        <v>6264102.58844308</v>
      </c>
      <c r="O58" s="26" t="n">
        <f aca="false">O57*(1-Assumptions!$B$23/12)+IF(A58&gt;=Assumptions!$B$22,J58*Assumptions!$B$21,0)</f>
        <v>2132.47209880836</v>
      </c>
      <c r="P58" s="27" t="n">
        <f aca="false">O58*L58*Assumptions!$B$20/12</f>
        <v>19185893.9980965</v>
      </c>
      <c r="Q58" s="26" t="n">
        <f aca="false">IF(A58&gt;=Assumptions!$B$61,(A58-Assumptions!$B$61+1)*Assumptions!$B$64,0)</f>
        <v>9.3</v>
      </c>
      <c r="R58" s="27" t="n">
        <f aca="false">Q58*Assumptions!$B$62*Assumptions!$B$63</f>
        <v>13950000</v>
      </c>
      <c r="S58" s="17" t="n">
        <f aca="false">M58+N58+P58+R58</f>
        <v>100881730.301165</v>
      </c>
      <c r="T58" s="27" t="n">
        <f aca="false">M58*Assumptions!$B$37+R58*Assumptions!$B$38</f>
        <v>22629520.1143878</v>
      </c>
      <c r="U58" s="27" t="n">
        <f aca="false">E58*Assumptions!$B$36</f>
        <v>7458298.39595805</v>
      </c>
      <c r="V58" s="27" t="n">
        <f aca="false">T58+U58</f>
        <v>30087818.5103458</v>
      </c>
      <c r="W58" s="27" t="n">
        <f aca="false">S58-V58</f>
        <v>70793911.7908196</v>
      </c>
      <c r="X58" s="28" t="n">
        <f aca="false">IFERROR(W58/S58,0)</f>
        <v>0.701751561749351</v>
      </c>
      <c r="Y58" s="27" t="n">
        <f aca="false">INDEX(Assumptions!$B$68:$B$72,MATCH(B58,Assumptions!$A$68:$A$72,0))</f>
        <v>8000000</v>
      </c>
      <c r="Z58" s="27" t="n">
        <f aca="false">INDEX(Assumptions!$C$68:$C$72,MATCH(B58,Assumptions!$A$68:$A$72,0))</f>
        <v>900000</v>
      </c>
      <c r="AA58" s="27" t="n">
        <f aca="false">INDEX(Assumptions!$D$68:$D$72,MATCH(B58,Assumptions!$A$68:$A$72,0))</f>
        <v>4000000</v>
      </c>
      <c r="AB58" s="27" t="n">
        <f aca="false">INDEX(Assumptions!$E$68:$E$72,MATCH(B58,Assumptions!$A$68:$A$72,0))</f>
        <v>1800000</v>
      </c>
      <c r="AC58" s="27" t="n">
        <f aca="false">MAX(0,C58-C57)*Assumptions!$B$58</f>
        <v>0</v>
      </c>
      <c r="AD58" s="27" t="n">
        <f aca="false">SUM(Y58:AC58)</f>
        <v>14700000</v>
      </c>
      <c r="AE58" s="17" t="n">
        <f aca="false">W58-AD58</f>
        <v>56093911.7908196</v>
      </c>
      <c r="AF58" s="27" t="n">
        <f aca="false">AF57+AE58</f>
        <v>894330436.07572</v>
      </c>
    </row>
    <row r="59" customFormat="false" ht="15" hidden="false" customHeight="false" outlineLevel="0" collapsed="false">
      <c r="A59" s="25" t="n">
        <v>56</v>
      </c>
      <c r="B59" s="22" t="n">
        <f aca="false">ROUNDUP(A59/12,0)</f>
        <v>5</v>
      </c>
      <c r="C59" s="25" t="n">
        <f aca="false">COUNTIF(Assumptions!$B$51:$B$57,"&lt;="&amp;A59)</f>
        <v>7</v>
      </c>
      <c r="D59" s="26" t="n">
        <f aca="false">INDEX(Assumptions!$B$42:$B$46,MATCH(B59,Assumptions!$A$42:$A$46,0))</f>
        <v>5</v>
      </c>
      <c r="E59" s="26" t="n">
        <f aca="false">E58*(1-Assumptions!$B$33)+D59</f>
        <v>95.4318680509913</v>
      </c>
      <c r="F59" s="26" t="n">
        <f aca="false">MAX(0,E59-D59*(1-Assumptions!$B$31)-D58*(1-Assumptions!$B$32))</f>
        <v>91.1818680509913</v>
      </c>
      <c r="G59" s="26" t="n">
        <f aca="false">F59*Assumptions!$B$26</f>
        <v>547.091208305948</v>
      </c>
      <c r="H59" s="26" t="n">
        <f aca="false">K58+G59</f>
        <v>1449.23207584338</v>
      </c>
      <c r="I59" s="26" t="n">
        <f aca="false">MIN(F59*Assumptions!$B$27,H59*Assumptions!$B$28)</f>
        <v>3647.27472203965</v>
      </c>
      <c r="J59" s="26" t="n">
        <f aca="false">I59*Assumptions!$B$29</f>
        <v>437.672966644758</v>
      </c>
      <c r="K59" s="26" t="n">
        <f aca="false">MAX(0,H59-J59)*(1-Assumptions!$B$30)</f>
        <v>930.634380462734</v>
      </c>
      <c r="L59" s="27" t="n">
        <f aca="false">Assumptions!$B$14*(1+Assumptions!$B$15)^((A59-1)/12)</f>
        <v>1456387.08525484</v>
      </c>
      <c r="M59" s="27" t="n">
        <f aca="false">J59*L59*Assumptions!$B$18</f>
        <v>63742125.6186598</v>
      </c>
      <c r="N59" s="27" t="n">
        <f aca="false">MAX(0,I59-J59)*Assumptions!$B$19</f>
        <v>6419203.51078979</v>
      </c>
      <c r="O59" s="26" t="n">
        <f aca="false">O58*(1-Assumptions!$B$23/12)+IF(A59&gt;=Assumptions!$B$22,J59*Assumptions!$B$21,0)</f>
        <v>2224.11973964614</v>
      </c>
      <c r="P59" s="27" t="n">
        <f aca="false">O59*L59*Assumptions!$B$20/12</f>
        <v>20244870.4055062</v>
      </c>
      <c r="Q59" s="26" t="n">
        <f aca="false">IF(A59&gt;=Assumptions!$B$61,(A59-Assumptions!$B$61+1)*Assumptions!$B$64,0)</f>
        <v>9.6</v>
      </c>
      <c r="R59" s="27" t="n">
        <f aca="false">Q59*Assumptions!$B$62*Assumptions!$B$63</f>
        <v>14400000</v>
      </c>
      <c r="S59" s="17" t="n">
        <f aca="false">M59+N59+P59+R59</f>
        <v>104806199.534956</v>
      </c>
      <c r="T59" s="27" t="n">
        <f aca="false">M59*Assumptions!$B$37+R59*Assumptions!$B$38</f>
        <v>23442637.6855979</v>
      </c>
      <c r="U59" s="27" t="n">
        <f aca="false">E59*Assumptions!$B$36</f>
        <v>7634549.44407931</v>
      </c>
      <c r="V59" s="27" t="n">
        <f aca="false">T59+U59</f>
        <v>31077187.1296772</v>
      </c>
      <c r="W59" s="27" t="n">
        <f aca="false">S59-V59</f>
        <v>73729012.4052786</v>
      </c>
      <c r="X59" s="28" t="n">
        <f aca="false">IFERROR(W59/S59,0)</f>
        <v>0.703479495797268</v>
      </c>
      <c r="Y59" s="27" t="n">
        <f aca="false">INDEX(Assumptions!$B$68:$B$72,MATCH(B59,Assumptions!$A$68:$A$72,0))</f>
        <v>8000000</v>
      </c>
      <c r="Z59" s="27" t="n">
        <f aca="false">INDEX(Assumptions!$C$68:$C$72,MATCH(B59,Assumptions!$A$68:$A$72,0))</f>
        <v>900000</v>
      </c>
      <c r="AA59" s="27" t="n">
        <f aca="false">INDEX(Assumptions!$D$68:$D$72,MATCH(B59,Assumptions!$A$68:$A$72,0))</f>
        <v>4000000</v>
      </c>
      <c r="AB59" s="27" t="n">
        <f aca="false">INDEX(Assumptions!$E$68:$E$72,MATCH(B59,Assumptions!$A$68:$A$72,0))</f>
        <v>1800000</v>
      </c>
      <c r="AC59" s="27" t="n">
        <f aca="false">MAX(0,C59-C58)*Assumptions!$B$58</f>
        <v>0</v>
      </c>
      <c r="AD59" s="27" t="n">
        <f aca="false">SUM(Y59:AC59)</f>
        <v>14700000</v>
      </c>
      <c r="AE59" s="17" t="n">
        <f aca="false">W59-AD59</f>
        <v>59029012.4052786</v>
      </c>
      <c r="AF59" s="27" t="n">
        <f aca="false">AF58+AE59</f>
        <v>953359448.480998</v>
      </c>
    </row>
    <row r="60" customFormat="false" ht="15" hidden="false" customHeight="false" outlineLevel="0" collapsed="false">
      <c r="A60" s="25" t="n">
        <v>57</v>
      </c>
      <c r="B60" s="22" t="n">
        <f aca="false">ROUNDUP(A60/12,0)</f>
        <v>5</v>
      </c>
      <c r="C60" s="25" t="n">
        <f aca="false">COUNTIF(Assumptions!$B$51:$B$57,"&lt;="&amp;A60)</f>
        <v>7</v>
      </c>
      <c r="D60" s="26" t="n">
        <f aca="false">INDEX(Assumptions!$B$42:$B$46,MATCH(B60,Assumptions!$A$42:$A$46,0))</f>
        <v>5</v>
      </c>
      <c r="E60" s="26" t="n">
        <f aca="false">E59*(1-Assumptions!$B$33)+D60</f>
        <v>97.5689120094616</v>
      </c>
      <c r="F60" s="26" t="n">
        <f aca="false">MAX(0,E60-D60*(1-Assumptions!$B$31)-D59*(1-Assumptions!$B$32))</f>
        <v>93.3189120094616</v>
      </c>
      <c r="G60" s="26" t="n">
        <f aca="false">F60*Assumptions!$B$26</f>
        <v>559.91347205677</v>
      </c>
      <c r="H60" s="26" t="n">
        <f aca="false">K59+G60</f>
        <v>1490.5478525195</v>
      </c>
      <c r="I60" s="26" t="n">
        <f aca="false">MIN(F60*Assumptions!$B$27,H60*Assumptions!$B$28)</f>
        <v>3732.75648037846</v>
      </c>
      <c r="J60" s="26" t="n">
        <f aca="false">I60*Assumptions!$B$29</f>
        <v>447.930777645416</v>
      </c>
      <c r="K60" s="26" t="n">
        <f aca="false">MAX(0,H60-J60)*(1-Assumptions!$B$30)</f>
        <v>959.207708884161</v>
      </c>
      <c r="L60" s="27" t="n">
        <f aca="false">Assumptions!$B$14*(1+Assumptions!$B$15)^((A60-1)/12)</f>
        <v>1473448.53896175</v>
      </c>
      <c r="M60" s="27" t="n">
        <f aca="false">J60*L60*Assumptions!$B$18</f>
        <v>66000294.9877637</v>
      </c>
      <c r="N60" s="27" t="n">
        <f aca="false">MAX(0,I60-J60)*Assumptions!$B$19</f>
        <v>6569651.40546609</v>
      </c>
      <c r="O60" s="26" t="n">
        <f aca="false">O59*(1-Assumptions!$B$23/12)+IF(A60&gt;=Assumptions!$B$22,J60*Assumptions!$B$21,0)</f>
        <v>2317.56810289378</v>
      </c>
      <c r="P60" s="27" t="n">
        <f aca="false">O60*L60*Assumptions!$B$20/12</f>
        <v>21342608.3447074</v>
      </c>
      <c r="Q60" s="26" t="n">
        <f aca="false">IF(A60&gt;=Assumptions!$B$61,(A60-Assumptions!$B$61+1)*Assumptions!$B$64,0)</f>
        <v>9.9</v>
      </c>
      <c r="R60" s="27" t="n">
        <f aca="false">Q60*Assumptions!$B$62*Assumptions!$B$63</f>
        <v>14850000</v>
      </c>
      <c r="S60" s="17" t="n">
        <f aca="false">M60+N60+P60+R60</f>
        <v>108762554.737937</v>
      </c>
      <c r="T60" s="27" t="n">
        <f aca="false">M60*Assumptions!$B$37+R60*Assumptions!$B$38</f>
        <v>24255088.4963291</v>
      </c>
      <c r="U60" s="27" t="n">
        <f aca="false">E60*Assumptions!$B$36</f>
        <v>7805512.96075693</v>
      </c>
      <c r="V60" s="27" t="n">
        <f aca="false">T60+U60</f>
        <v>32060601.457086</v>
      </c>
      <c r="W60" s="27" t="n">
        <f aca="false">S60-V60</f>
        <v>76701953.2808512</v>
      </c>
      <c r="X60" s="28" t="n">
        <f aca="false">IFERROR(W60/S60,0)</f>
        <v>0.705223902340876</v>
      </c>
      <c r="Y60" s="27" t="n">
        <f aca="false">INDEX(Assumptions!$B$68:$B$72,MATCH(B60,Assumptions!$A$68:$A$72,0))</f>
        <v>8000000</v>
      </c>
      <c r="Z60" s="27" t="n">
        <f aca="false">INDEX(Assumptions!$C$68:$C$72,MATCH(B60,Assumptions!$A$68:$A$72,0))</f>
        <v>900000</v>
      </c>
      <c r="AA60" s="27" t="n">
        <f aca="false">INDEX(Assumptions!$D$68:$D$72,MATCH(B60,Assumptions!$A$68:$A$72,0))</f>
        <v>4000000</v>
      </c>
      <c r="AB60" s="27" t="n">
        <f aca="false">INDEX(Assumptions!$E$68:$E$72,MATCH(B60,Assumptions!$A$68:$A$72,0))</f>
        <v>1800000</v>
      </c>
      <c r="AC60" s="27" t="n">
        <f aca="false">MAX(0,C60-C59)*Assumptions!$B$58</f>
        <v>0</v>
      </c>
      <c r="AD60" s="27" t="n">
        <f aca="false">SUM(Y60:AC60)</f>
        <v>14700000</v>
      </c>
      <c r="AE60" s="17" t="n">
        <f aca="false">W60-AD60</f>
        <v>62001953.2808512</v>
      </c>
      <c r="AF60" s="27" t="n">
        <f aca="false">AF59+AE60</f>
        <v>1015361401.76185</v>
      </c>
    </row>
    <row r="61" customFormat="false" ht="15" hidden="false" customHeight="false" outlineLevel="0" collapsed="false">
      <c r="A61" s="25" t="n">
        <v>58</v>
      </c>
      <c r="B61" s="22" t="n">
        <f aca="false">ROUNDUP(A61/12,0)</f>
        <v>5</v>
      </c>
      <c r="C61" s="25" t="n">
        <f aca="false">COUNTIF(Assumptions!$B$51:$B$57,"&lt;="&amp;A61)</f>
        <v>7</v>
      </c>
      <c r="D61" s="26" t="n">
        <f aca="false">INDEX(Assumptions!$B$42:$B$46,MATCH(B61,Assumptions!$A$42:$A$46,0))</f>
        <v>5</v>
      </c>
      <c r="E61" s="26" t="n">
        <f aca="false">E60*(1-Assumptions!$B$33)+D61</f>
        <v>99.6418446491777</v>
      </c>
      <c r="F61" s="26" t="n">
        <f aca="false">MAX(0,E61-D61*(1-Assumptions!$B$31)-D60*(1-Assumptions!$B$32))</f>
        <v>95.3918446491777</v>
      </c>
      <c r="G61" s="26" t="n">
        <f aca="false">F61*Assumptions!$B$26</f>
        <v>572.351067895066</v>
      </c>
      <c r="H61" s="26" t="n">
        <f aca="false">K60+G61</f>
        <v>1531.55877677923</v>
      </c>
      <c r="I61" s="26" t="n">
        <f aca="false">MIN(F61*Assumptions!$B$27,H61*Assumptions!$B$28)</f>
        <v>3815.67378596711</v>
      </c>
      <c r="J61" s="26" t="n">
        <f aca="false">I61*Assumptions!$B$29</f>
        <v>457.880854316053</v>
      </c>
      <c r="K61" s="26" t="n">
        <f aca="false">MAX(0,H61-J61)*(1-Assumptions!$B$30)</f>
        <v>987.783688666121</v>
      </c>
      <c r="L61" s="27" t="n">
        <f aca="false">Assumptions!$B$14*(1+Assumptions!$B$15)^((A61-1)/12)</f>
        <v>1490709.86618136</v>
      </c>
      <c r="M61" s="27" t="n">
        <f aca="false">J61*L61*Assumptions!$B$18</f>
        <v>68256750.7064492</v>
      </c>
      <c r="N61" s="27" t="n">
        <f aca="false">MAX(0,I61-J61)*Assumptions!$B$19</f>
        <v>6715585.86330211</v>
      </c>
      <c r="O61" s="26" t="n">
        <f aca="false">O60*(1-Assumptions!$B$23/12)+IF(A61&gt;=Assumptions!$B$22,J61*Assumptions!$B$21,0)</f>
        <v>2412.72524894868</v>
      </c>
      <c r="P61" s="27" t="n">
        <f aca="false">O61*L61*Assumptions!$B$20/12</f>
        <v>22479208.3312042</v>
      </c>
      <c r="Q61" s="26" t="n">
        <f aca="false">IF(A61&gt;=Assumptions!$B$61,(A61-Assumptions!$B$61+1)*Assumptions!$B$64,0)</f>
        <v>10.2</v>
      </c>
      <c r="R61" s="27" t="n">
        <f aca="false">Q61*Assumptions!$B$62*Assumptions!$B$63</f>
        <v>15300000</v>
      </c>
      <c r="S61" s="17" t="n">
        <f aca="false">M61+N61+P61+R61</f>
        <v>112751544.900956</v>
      </c>
      <c r="T61" s="27" t="n">
        <f aca="false">M61*Assumptions!$B$37+R61*Assumptions!$B$38</f>
        <v>25067025.2119348</v>
      </c>
      <c r="U61" s="27" t="n">
        <f aca="false">E61*Assumptions!$B$36</f>
        <v>7971347.57193422</v>
      </c>
      <c r="V61" s="27" t="n">
        <f aca="false">T61+U61</f>
        <v>33038372.783869</v>
      </c>
      <c r="W61" s="27" t="n">
        <f aca="false">S61-V61</f>
        <v>79713172.1170866</v>
      </c>
      <c r="X61" s="28" t="n">
        <f aca="false">IFERROR(W61/S61,0)</f>
        <v>0.706980753009718</v>
      </c>
      <c r="Y61" s="27" t="n">
        <f aca="false">INDEX(Assumptions!$B$68:$B$72,MATCH(B61,Assumptions!$A$68:$A$72,0))</f>
        <v>8000000</v>
      </c>
      <c r="Z61" s="27" t="n">
        <f aca="false">INDEX(Assumptions!$C$68:$C$72,MATCH(B61,Assumptions!$A$68:$A$72,0))</f>
        <v>900000</v>
      </c>
      <c r="AA61" s="27" t="n">
        <f aca="false">INDEX(Assumptions!$D$68:$D$72,MATCH(B61,Assumptions!$A$68:$A$72,0))</f>
        <v>4000000</v>
      </c>
      <c r="AB61" s="27" t="n">
        <f aca="false">INDEX(Assumptions!$E$68:$E$72,MATCH(B61,Assumptions!$A$68:$A$72,0))</f>
        <v>1800000</v>
      </c>
      <c r="AC61" s="27" t="n">
        <f aca="false">MAX(0,C61-C60)*Assumptions!$B$58</f>
        <v>0</v>
      </c>
      <c r="AD61" s="27" t="n">
        <f aca="false">SUM(Y61:AC61)</f>
        <v>14700000</v>
      </c>
      <c r="AE61" s="17" t="n">
        <f aca="false">W61-AD61</f>
        <v>65013172.1170866</v>
      </c>
      <c r="AF61" s="27" t="n">
        <f aca="false">AF60+AE61</f>
        <v>1080374573.87894</v>
      </c>
    </row>
    <row r="62" customFormat="false" ht="15" hidden="false" customHeight="false" outlineLevel="0" collapsed="false">
      <c r="A62" s="25" t="n">
        <v>59</v>
      </c>
      <c r="B62" s="22" t="n">
        <f aca="false">ROUNDUP(A62/12,0)</f>
        <v>5</v>
      </c>
      <c r="C62" s="25" t="n">
        <f aca="false">COUNTIF(Assumptions!$B$51:$B$57,"&lt;="&amp;A62)</f>
        <v>7</v>
      </c>
      <c r="D62" s="26" t="n">
        <f aca="false">INDEX(Assumptions!$B$42:$B$46,MATCH(B62,Assumptions!$A$42:$A$46,0))</f>
        <v>5</v>
      </c>
      <c r="E62" s="26" t="n">
        <f aca="false">E61*(1-Assumptions!$B$33)+D62</f>
        <v>101.652589309702</v>
      </c>
      <c r="F62" s="26" t="n">
        <f aca="false">MAX(0,E62-D62*(1-Assumptions!$B$31)-D61*(1-Assumptions!$B$32))</f>
        <v>97.4025893097024</v>
      </c>
      <c r="G62" s="26" t="n">
        <f aca="false">F62*Assumptions!$B$26</f>
        <v>584.415535858214</v>
      </c>
      <c r="H62" s="26" t="n">
        <f aca="false">K61+G62</f>
        <v>1572.19922452434</v>
      </c>
      <c r="I62" s="26" t="n">
        <f aca="false">MIN(F62*Assumptions!$B$27,H62*Assumptions!$B$28)</f>
        <v>3896.1035723881</v>
      </c>
      <c r="J62" s="26" t="n">
        <f aca="false">I62*Assumptions!$B$29</f>
        <v>467.532428686572</v>
      </c>
      <c r="K62" s="26" t="n">
        <f aca="false">MAX(0,H62-J62)*(1-Assumptions!$B$30)</f>
        <v>1016.29345217074</v>
      </c>
      <c r="L62" s="27" t="n">
        <f aca="false">Assumptions!$B$14*(1+Assumptions!$B$15)^((A62-1)/12)</f>
        <v>1508173.40841528</v>
      </c>
      <c r="M62" s="27" t="n">
        <f aca="false">J62*L62*Assumptions!$B$18</f>
        <v>70511997.6516902</v>
      </c>
      <c r="N62" s="27" t="n">
        <f aca="false">MAX(0,I62-J62)*Assumptions!$B$19</f>
        <v>6857142.28740305</v>
      </c>
      <c r="O62" s="26" t="n">
        <f aca="false">O61*(1-Assumptions!$B$23/12)+IF(A62&gt;=Assumptions!$B$22,J62*Assumptions!$B$21,0)</f>
        <v>2509.50231237908</v>
      </c>
      <c r="P62" s="27" t="n">
        <f aca="false">O62*L62*Assumptions!$B$20/12</f>
        <v>23654779.0992925</v>
      </c>
      <c r="Q62" s="26" t="n">
        <f aca="false">IF(A62&gt;=Assumptions!$B$61,(A62-Assumptions!$B$61+1)*Assumptions!$B$64,0)</f>
        <v>10.5</v>
      </c>
      <c r="R62" s="27" t="n">
        <f aca="false">Q62*Assumptions!$B$62*Assumptions!$B$63</f>
        <v>15750000</v>
      </c>
      <c r="S62" s="17" t="n">
        <f aca="false">M62+N62+P62+R62</f>
        <v>116773919.038386</v>
      </c>
      <c r="T62" s="27" t="n">
        <f aca="false">M62*Assumptions!$B$37+R62*Assumptions!$B$38</f>
        <v>25878599.2955071</v>
      </c>
      <c r="U62" s="27" t="n">
        <f aca="false">E62*Assumptions!$B$36</f>
        <v>8132207.14477619</v>
      </c>
      <c r="V62" s="27" t="n">
        <f aca="false">T62+U62</f>
        <v>34010806.4402833</v>
      </c>
      <c r="W62" s="27" t="n">
        <f aca="false">S62-V62</f>
        <v>82763112.5981025</v>
      </c>
      <c r="X62" s="28" t="n">
        <f aca="false">IFERROR(W62/S62,0)</f>
        <v>0.708746552994395</v>
      </c>
      <c r="Y62" s="27" t="n">
        <f aca="false">INDEX(Assumptions!$B$68:$B$72,MATCH(B62,Assumptions!$A$68:$A$72,0))</f>
        <v>8000000</v>
      </c>
      <c r="Z62" s="27" t="n">
        <f aca="false">INDEX(Assumptions!$C$68:$C$72,MATCH(B62,Assumptions!$A$68:$A$72,0))</f>
        <v>900000</v>
      </c>
      <c r="AA62" s="27" t="n">
        <f aca="false">INDEX(Assumptions!$D$68:$D$72,MATCH(B62,Assumptions!$A$68:$A$72,0))</f>
        <v>4000000</v>
      </c>
      <c r="AB62" s="27" t="n">
        <f aca="false">INDEX(Assumptions!$E$68:$E$72,MATCH(B62,Assumptions!$A$68:$A$72,0))</f>
        <v>1800000</v>
      </c>
      <c r="AC62" s="27" t="n">
        <f aca="false">MAX(0,C62-C61)*Assumptions!$B$58</f>
        <v>0</v>
      </c>
      <c r="AD62" s="27" t="n">
        <f aca="false">SUM(Y62:AC62)</f>
        <v>14700000</v>
      </c>
      <c r="AE62" s="17" t="n">
        <f aca="false">W62-AD62</f>
        <v>68063112.5981025</v>
      </c>
      <c r="AF62" s="27" t="n">
        <f aca="false">AF61+AE62</f>
        <v>1148437686.47704</v>
      </c>
    </row>
    <row r="63" customFormat="false" ht="15" hidden="false" customHeight="false" outlineLevel="0" collapsed="false">
      <c r="A63" s="29" t="n">
        <v>60</v>
      </c>
      <c r="B63" s="30" t="n">
        <f aca="false">ROUNDUP(A63/12,0)</f>
        <v>5</v>
      </c>
      <c r="C63" s="29" t="n">
        <f aca="false">COUNTIF(Assumptions!$B$51:$B$57,"&lt;="&amp;A63)</f>
        <v>7</v>
      </c>
      <c r="D63" s="31" t="n">
        <f aca="false">INDEX(Assumptions!$B$42:$B$46,MATCH(B63,Assumptions!$A$42:$A$46,0))</f>
        <v>5</v>
      </c>
      <c r="E63" s="31" t="n">
        <f aca="false">E62*(1-Assumptions!$B$33)+D63</f>
        <v>103.603011630411</v>
      </c>
      <c r="F63" s="31" t="n">
        <f aca="false">MAX(0,E63-D63*(1-Assumptions!$B$31)-D62*(1-Assumptions!$B$32))</f>
        <v>99.3530116304113</v>
      </c>
      <c r="G63" s="31" t="n">
        <f aca="false">F63*Assumptions!$B$26</f>
        <v>596.118069782468</v>
      </c>
      <c r="H63" s="31" t="n">
        <f aca="false">K62+G63</f>
        <v>1612.41152195321</v>
      </c>
      <c r="I63" s="31" t="n">
        <f aca="false">MIN(F63*Assumptions!$B$27,H63*Assumptions!$B$28)</f>
        <v>3974.12046521645</v>
      </c>
      <c r="J63" s="31" t="n">
        <f aca="false">I63*Assumptions!$B$29</f>
        <v>476.894455825974</v>
      </c>
      <c r="K63" s="31" t="n">
        <f aca="false">MAX(0,H63-J63)*(1-Assumptions!$B$30)</f>
        <v>1044.67570083706</v>
      </c>
      <c r="L63" s="32" t="n">
        <f aca="false">Assumptions!$B$14*(1+Assumptions!$B$15)^((A63-1)/12)</f>
        <v>1525841.5345956</v>
      </c>
      <c r="M63" s="32" t="n">
        <f aca="false">J63*L63*Assumptions!$B$18</f>
        <v>72766536.8317639</v>
      </c>
      <c r="N63" s="32" t="n">
        <f aca="false">MAX(0,I63-J63)*Assumptions!$B$19</f>
        <v>6994452.01878096</v>
      </c>
      <c r="O63" s="31" t="n">
        <f aca="false">O62*(1-Assumptions!$B$23/12)+IF(A63&gt;=Assumptions!$B$22,J63*Assumptions!$B$21,0)</f>
        <v>2607.81340706575</v>
      </c>
      <c r="P63" s="32" t="n">
        <f aca="false">O63*L63*Assumptions!$B$20/12</f>
        <v>24869437.5686011</v>
      </c>
      <c r="Q63" s="31" t="n">
        <f aca="false">IF(A63&gt;=Assumptions!$B$61,(A63-Assumptions!$B$61+1)*Assumptions!$B$64,0)</f>
        <v>10.8</v>
      </c>
      <c r="R63" s="32" t="n">
        <f aca="false">Q63*Assumptions!$B$62*Assumptions!$B$63</f>
        <v>16200000</v>
      </c>
      <c r="S63" s="33" t="n">
        <f aca="false">M63+N63+P63+R63</f>
        <v>120830426.419146</v>
      </c>
      <c r="T63" s="32" t="n">
        <f aca="false">M63*Assumptions!$B$37+R63*Assumptions!$B$38</f>
        <v>26689961.0495292</v>
      </c>
      <c r="U63" s="32" t="n">
        <f aca="false">E63*Assumptions!$B$36</f>
        <v>8288240.93043291</v>
      </c>
      <c r="V63" s="32" t="n">
        <f aca="false">T63+U63</f>
        <v>34978201.9799621</v>
      </c>
      <c r="W63" s="32" t="n">
        <f aca="false">S63-V63</f>
        <v>85852224.4391839</v>
      </c>
      <c r="X63" s="34" t="n">
        <f aca="false">IFERROR(W63/S63,0)</f>
        <v>0.710518260867284</v>
      </c>
      <c r="Y63" s="32" t="n">
        <f aca="false">INDEX(Assumptions!$B$68:$B$72,MATCH(B63,Assumptions!$A$68:$A$72,0))</f>
        <v>8000000</v>
      </c>
      <c r="Z63" s="32" t="n">
        <f aca="false">INDEX(Assumptions!$C$68:$C$72,MATCH(B63,Assumptions!$A$68:$A$72,0))</f>
        <v>900000</v>
      </c>
      <c r="AA63" s="32" t="n">
        <f aca="false">INDEX(Assumptions!$D$68:$D$72,MATCH(B63,Assumptions!$A$68:$A$72,0))</f>
        <v>4000000</v>
      </c>
      <c r="AB63" s="32" t="n">
        <f aca="false">INDEX(Assumptions!$E$68:$E$72,MATCH(B63,Assumptions!$A$68:$A$72,0))</f>
        <v>1800000</v>
      </c>
      <c r="AC63" s="32" t="n">
        <f aca="false">MAX(0,C63-C62)*Assumptions!$B$58</f>
        <v>0</v>
      </c>
      <c r="AD63" s="32" t="n">
        <f aca="false">SUM(Y63:AC63)</f>
        <v>14700000</v>
      </c>
      <c r="AE63" s="33" t="n">
        <f aca="false">W63-AD63</f>
        <v>71152224.4391839</v>
      </c>
      <c r="AF63" s="32" t="n">
        <f aca="false">AF62+AE63</f>
        <v>1219589910.91622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7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8" t="s">
        <v>143</v>
      </c>
    </row>
    <row r="2" customFormat="false" ht="15" hidden="false" customHeight="false" outlineLevel="0" collapsed="false">
      <c r="A2" s="9" t="s">
        <v>144</v>
      </c>
    </row>
    <row r="3" customFormat="false" ht="15" hidden="false" customHeight="false" outlineLevel="0" collapsed="false">
      <c r="B3" s="35" t="n">
        <v>1</v>
      </c>
      <c r="C3" s="35" t="n">
        <v>2</v>
      </c>
      <c r="D3" s="35" t="n">
        <v>3</v>
      </c>
      <c r="E3" s="35" t="n">
        <v>4</v>
      </c>
      <c r="F3" s="35" t="n">
        <v>5</v>
      </c>
    </row>
    <row r="5" customFormat="false" ht="18" hidden="false" customHeight="true" outlineLevel="0" collapsed="false">
      <c r="A5" s="10" t="s">
        <v>145</v>
      </c>
      <c r="B5" s="10"/>
      <c r="C5" s="10"/>
      <c r="D5" s="10"/>
      <c r="E5" s="10"/>
      <c r="F5" s="10"/>
    </row>
    <row r="6" customFormat="false" ht="15" hidden="false" customHeight="false" outlineLevel="0" collapsed="false">
      <c r="A6" s="12" t="s">
        <v>146</v>
      </c>
      <c r="B6" s="36" t="n">
        <f aca="false">INDEX('Monthly Model'!$C$4:$C$63,1*12)</f>
        <v>1</v>
      </c>
      <c r="C6" s="36" t="n">
        <f aca="false">INDEX('Monthly Model'!$C$4:$C$63,2*12)</f>
        <v>3</v>
      </c>
      <c r="D6" s="36" t="n">
        <f aca="false">INDEX('Monthly Model'!$C$4:$C$63,3*12)</f>
        <v>5</v>
      </c>
      <c r="E6" s="36" t="n">
        <f aca="false">INDEX('Monthly Model'!$C$4:$C$63,4*12)</f>
        <v>6</v>
      </c>
      <c r="F6" s="36" t="n">
        <f aca="false">INDEX('Monthly Model'!$C$4:$C$63,5*12)</f>
        <v>7</v>
      </c>
    </row>
    <row r="7" customFormat="false" ht="15" hidden="false" customHeight="false" outlineLevel="0" collapsed="false">
      <c r="A7" s="12" t="s">
        <v>147</v>
      </c>
      <c r="B7" s="37" t="n">
        <f aca="false">INDEX('Monthly Model'!$E$4:$E$63,1*12)</f>
        <v>11.6358574396616</v>
      </c>
      <c r="C7" s="37" t="n">
        <f aca="false">INDEX('Monthly Model'!$E$4:$E$63,2*12)</f>
        <v>28.4839600651119</v>
      </c>
      <c r="D7" s="37" t="n">
        <f aca="false">INDEX('Monthly Model'!$E$4:$E$63,3*12)</f>
        <v>50.3791420025332</v>
      </c>
      <c r="E7" s="37" t="n">
        <f aca="false">INDEX('Monthly Model'!$E$4:$E$63,4*12)</f>
        <v>75.7762013659037</v>
      </c>
      <c r="F7" s="37" t="n">
        <f aca="false">INDEX('Monthly Model'!$E$4:$E$63,5*12)</f>
        <v>103.603011630411</v>
      </c>
    </row>
    <row r="8" customFormat="false" ht="15" hidden="false" customHeight="false" outlineLevel="0" collapsed="false">
      <c r="A8" s="12" t="s">
        <v>148</v>
      </c>
      <c r="B8" s="36" t="n">
        <f aca="false">SUMIFS('Monthly Model'!$G$4:$G$63,'Monthly Model'!$B$4:$B$63,1)</f>
        <v>482.943656705657</v>
      </c>
      <c r="C8" s="36" t="n">
        <f aca="false">SUMIFS('Monthly Model'!$G$4:$G$63,'Monthly Model'!$B$4:$B$63,2)</f>
        <v>1410.56809066263</v>
      </c>
      <c r="D8" s="36" t="n">
        <f aca="false">SUMIFS('Monthly Model'!$G$4:$G$63,'Monthly Model'!$B$4:$B$63,3)</f>
        <v>2770.23470414027</v>
      </c>
      <c r="E8" s="36" t="n">
        <f aca="false">SUMIFS('Monthly Model'!$G$4:$G$63,'Monthly Model'!$B$4:$B$63,4)</f>
        <v>4429.67048350613</v>
      </c>
      <c r="F8" s="36" t="n">
        <f aca="false">SUMIFS('Monthly Model'!$G$4:$G$63,'Monthly Model'!$B$4:$B$63,5)</f>
        <v>6297.09880868551</v>
      </c>
    </row>
    <row r="9" customFormat="false" ht="15" hidden="false" customHeight="false" outlineLevel="0" collapsed="false">
      <c r="A9" s="12" t="s">
        <v>149</v>
      </c>
      <c r="B9" s="36" t="n">
        <f aca="false">INDEX('Monthly Model'!$K$4:$K$63,1*12)</f>
        <v>84.0342236393027</v>
      </c>
      <c r="C9" s="36" t="n">
        <f aca="false">INDEX('Monthly Model'!$K$4:$K$63,2*12)</f>
        <v>220.574058489491</v>
      </c>
      <c r="D9" s="36" t="n">
        <f aca="false">INDEX('Monthly Model'!$K$4:$K$63,3*12)</f>
        <v>431.972162290285</v>
      </c>
      <c r="E9" s="36" t="n">
        <f aca="false">INDEX('Monthly Model'!$K$4:$K$63,4*12)</f>
        <v>713.246471388606</v>
      </c>
      <c r="F9" s="36" t="n">
        <f aca="false">INDEX('Monthly Model'!$K$4:$K$63,5*12)</f>
        <v>1044.67570083706</v>
      </c>
      <c r="G9" s="9" t="s">
        <v>150</v>
      </c>
    </row>
    <row r="10" customFormat="false" ht="15" hidden="false" customHeight="false" outlineLevel="0" collapsed="false">
      <c r="A10" s="12" t="s">
        <v>151</v>
      </c>
      <c r="B10" s="36" t="n">
        <f aca="false">SUMIFS('Monthly Model'!$I$4:$I$63,'Monthly Model'!$B$4:$B$63,1)</f>
        <v>2910.33146692379</v>
      </c>
      <c r="C10" s="36" t="n">
        <f aca="false">SUMIFS('Monthly Model'!$I$4:$I$63,'Monthly Model'!$B$4:$B$63,2)</f>
        <v>9281.34080079383</v>
      </c>
      <c r="D10" s="36" t="n">
        <f aca="false">SUMIFS('Monthly Model'!$I$4:$I$63,'Monthly Model'!$B$4:$B$63,3)</f>
        <v>18468.2313609351</v>
      </c>
      <c r="E10" s="36" t="n">
        <f aca="false">SUMIFS('Monthly Model'!$I$4:$I$63,'Monthly Model'!$B$4:$B$63,4)</f>
        <v>29531.1365567075</v>
      </c>
      <c r="F10" s="36" t="n">
        <f aca="false">SUMIFS('Monthly Model'!$I$4:$I$63,'Monthly Model'!$B$4:$B$63,5)</f>
        <v>41980.6587245701</v>
      </c>
    </row>
    <row r="11" customFormat="false" ht="15" hidden="false" customHeight="false" outlineLevel="0" collapsed="false">
      <c r="A11" s="15" t="s">
        <v>152</v>
      </c>
      <c r="B11" s="38" t="n">
        <f aca="false">SUMIFS('Monthly Model'!$J$4:$J$63,'Monthly Model'!$B$4:$B$63,1)</f>
        <v>349.239776030855</v>
      </c>
      <c r="C11" s="38" t="n">
        <f aca="false">SUMIFS('Monthly Model'!$J$4:$J$63,'Monthly Model'!$B$4:$B$63,2)</f>
        <v>1113.76089609526</v>
      </c>
      <c r="D11" s="38" t="n">
        <f aca="false">SUMIFS('Monthly Model'!$J$4:$J$63,'Monthly Model'!$B$4:$B$63,3)</f>
        <v>2216.18776331221</v>
      </c>
      <c r="E11" s="38" t="n">
        <f aca="false">SUMIFS('Monthly Model'!$J$4:$J$63,'Monthly Model'!$B$4:$B$63,4)</f>
        <v>3543.7363868049</v>
      </c>
      <c r="F11" s="38" t="n">
        <f aca="false">SUMIFS('Monthly Model'!$J$4:$J$63,'Monthly Model'!$B$4:$B$63,5)</f>
        <v>5037.67904694841</v>
      </c>
    </row>
    <row r="12" customFormat="false" ht="15" hidden="false" customHeight="false" outlineLevel="0" collapsed="false">
      <c r="A12" s="12" t="s">
        <v>153</v>
      </c>
      <c r="B12" s="36" t="n">
        <f aca="false">INDEX('Monthly Model'!$O$4:$O$63,1*12)</f>
        <v>0</v>
      </c>
      <c r="C12" s="36" t="n">
        <f aca="false">INDEX('Monthly Model'!$O$4:$O$63,2*12)</f>
        <v>267.974536400109</v>
      </c>
      <c r="D12" s="36" t="n">
        <f aca="false">INDEX('Monthly Model'!$O$4:$O$63,3*12)</f>
        <v>774.162237761564</v>
      </c>
      <c r="E12" s="36" t="n">
        <f aca="false">INDEX('Monthly Model'!$O$4:$O$63,4*12)</f>
        <v>1549.47145231456</v>
      </c>
      <c r="F12" s="36" t="n">
        <f aca="false">INDEX('Monthly Model'!$O$4:$O$63,5*12)</f>
        <v>2607.81340706575</v>
      </c>
      <c r="G12" s="9" t="s">
        <v>154</v>
      </c>
    </row>
    <row r="14" customFormat="false" ht="18" hidden="false" customHeight="true" outlineLevel="0" collapsed="false">
      <c r="A14" s="10" t="s">
        <v>155</v>
      </c>
      <c r="B14" s="10"/>
      <c r="C14" s="10"/>
      <c r="D14" s="10"/>
      <c r="E14" s="10"/>
      <c r="F14" s="10"/>
    </row>
    <row r="15" customFormat="false" ht="15" hidden="false" customHeight="false" outlineLevel="0" collapsed="false">
      <c r="A15" s="12" t="s">
        <v>127</v>
      </c>
      <c r="B15" s="39" t="n">
        <f aca="false">SUMIFS('Monthly Model'!$M$4:$M$63,'Monthly Model'!$B$4:$B$63,1)</f>
        <v>29175581.5710656</v>
      </c>
      <c r="C15" s="39" t="n">
        <f aca="false">SUMIFS('Monthly Model'!$M$4:$M$63,'Monthly Model'!$B$4:$B$63,2)</f>
        <v>105960009.391679</v>
      </c>
      <c r="D15" s="39" t="n">
        <f aca="false">SUMIFS('Monthly Model'!$M$4:$M$63,'Monthly Model'!$B$4:$B$63,3)</f>
        <v>241564616.242023</v>
      </c>
      <c r="E15" s="39" t="n">
        <f aca="false">SUMIFS('Monthly Model'!$M$4:$M$63,'Monthly Model'!$B$4:$B$63,4)</f>
        <v>443430294.752919</v>
      </c>
      <c r="F15" s="39" t="n">
        <f aca="false">SUMIFS('Monthly Model'!$M$4:$M$63,'Monthly Model'!$B$4:$B$63,5)</f>
        <v>724153038.330075</v>
      </c>
    </row>
    <row r="16" customFormat="false" ht="15" hidden="false" customHeight="false" outlineLevel="0" collapsed="false">
      <c r="A16" s="12" t="s">
        <v>128</v>
      </c>
      <c r="B16" s="39" t="n">
        <f aca="false">SUMIFS('Monthly Model'!$N$4:$N$63,'Monthly Model'!$B$4:$B$63,1)</f>
        <v>5122183.38178588</v>
      </c>
      <c r="C16" s="39" t="n">
        <f aca="false">SUMIFS('Monthly Model'!$N$4:$N$63,'Monthly Model'!$B$4:$B$63,2)</f>
        <v>16335159.8093971</v>
      </c>
      <c r="D16" s="39" t="n">
        <f aca="false">SUMIFS('Monthly Model'!$N$4:$N$63,'Monthly Model'!$B$4:$B$63,3)</f>
        <v>32504087.1952458</v>
      </c>
      <c r="E16" s="39" t="n">
        <f aca="false">SUMIFS('Monthly Model'!$N$4:$N$63,'Monthly Model'!$B$4:$B$63,4)</f>
        <v>51974800.3398052</v>
      </c>
      <c r="F16" s="39" t="n">
        <f aca="false">SUMIFS('Monthly Model'!$N$4:$N$63,'Monthly Model'!$B$4:$B$63,5)</f>
        <v>73885959.3552433</v>
      </c>
    </row>
    <row r="17" customFormat="false" ht="15" hidden="false" customHeight="false" outlineLevel="0" collapsed="false">
      <c r="A17" s="12" t="s">
        <v>130</v>
      </c>
      <c r="B17" s="39" t="n">
        <f aca="false">SUMIFS('Monthly Model'!$P$4:$P$63,'Monthly Model'!$B$4:$B$63,1)</f>
        <v>0</v>
      </c>
      <c r="C17" s="39" t="n">
        <f aca="false">SUMIFS('Monthly Model'!$P$4:$P$63,'Monthly Model'!$B$4:$B$63,2)</f>
        <v>9197159.69045471</v>
      </c>
      <c r="D17" s="39" t="n">
        <f aca="false">SUMIFS('Monthly Model'!$P$4:$P$63,'Monthly Model'!$B$4:$B$63,3)</f>
        <v>42789479.7385179</v>
      </c>
      <c r="E17" s="39" t="n">
        <f aca="false">SUMIFS('Monthly Model'!$P$4:$P$63,'Monthly Model'!$B$4:$B$63,4)</f>
        <v>110225753.549575</v>
      </c>
      <c r="F17" s="39" t="n">
        <f aca="false">SUMIFS('Monthly Model'!$P$4:$P$63,'Monthly Model'!$B$4:$B$63,5)</f>
        <v>226813726.237435</v>
      </c>
    </row>
    <row r="18" customFormat="false" ht="15" hidden="false" customHeight="false" outlineLevel="0" collapsed="false">
      <c r="A18" s="12" t="s">
        <v>132</v>
      </c>
      <c r="B18" s="39" t="n">
        <f aca="false">SUMIFS('Monthly Model'!$R$4:$R$63,'Monthly Model'!$B$4:$B$63,1)</f>
        <v>0</v>
      </c>
      <c r="C18" s="39" t="n">
        <f aca="false">SUMIFS('Monthly Model'!$R$4:$R$63,'Monthly Model'!$B$4:$B$63,2)</f>
        <v>0</v>
      </c>
      <c r="D18" s="39" t="n">
        <f aca="false">SUMIFS('Monthly Model'!$R$4:$R$63,'Monthly Model'!$B$4:$B$63,3)</f>
        <v>35100000</v>
      </c>
      <c r="E18" s="39" t="n">
        <f aca="false">SUMIFS('Monthly Model'!$R$4:$R$63,'Monthly Model'!$B$4:$B$63,4)</f>
        <v>99900000</v>
      </c>
      <c r="F18" s="39" t="n">
        <f aca="false">SUMIFS('Monthly Model'!$R$4:$R$63,'Monthly Model'!$B$4:$B$63,5)</f>
        <v>164700000</v>
      </c>
    </row>
    <row r="19" customFormat="false" ht="15" hidden="false" customHeight="false" outlineLevel="0" collapsed="false">
      <c r="A19" s="15" t="s">
        <v>133</v>
      </c>
      <c r="B19" s="40" t="n">
        <f aca="false">SUMIFS('Monthly Model'!$S$4:$S$63,'Monthly Model'!$B$4:$B$63,1)</f>
        <v>34297764.9528515</v>
      </c>
      <c r="C19" s="40" t="n">
        <f aca="false">SUMIFS('Monthly Model'!$S$4:$S$63,'Monthly Model'!$B$4:$B$63,2)</f>
        <v>131492328.891531</v>
      </c>
      <c r="D19" s="40" t="n">
        <f aca="false">SUMIFS('Monthly Model'!$S$4:$S$63,'Monthly Model'!$B$4:$B$63,3)</f>
        <v>351958183.175787</v>
      </c>
      <c r="E19" s="40" t="n">
        <f aca="false">SUMIFS('Monthly Model'!$S$4:$S$63,'Monthly Model'!$B$4:$B$63,4)</f>
        <v>705530848.642299</v>
      </c>
      <c r="F19" s="40" t="n">
        <f aca="false">SUMIFS('Monthly Model'!$S$4:$S$63,'Monthly Model'!$B$4:$B$63,5)</f>
        <v>1189552723.92275</v>
      </c>
    </row>
    <row r="21" customFormat="false" ht="18" hidden="false" customHeight="true" outlineLevel="0" collapsed="false">
      <c r="A21" s="10" t="s">
        <v>156</v>
      </c>
      <c r="B21" s="10"/>
      <c r="C21" s="10"/>
      <c r="D21" s="10"/>
      <c r="E21" s="10"/>
      <c r="F21" s="10"/>
    </row>
    <row r="22" customFormat="false" ht="15" hidden="false" customHeight="false" outlineLevel="0" collapsed="false">
      <c r="A22" s="12" t="s">
        <v>157</v>
      </c>
      <c r="B22" s="39" t="n">
        <f aca="false">SUMIFS('Monthly Model'!$V$4:$V$63,'Monthly Model'!$B$4:$B$63,1)</f>
        <v>15987923.2273951</v>
      </c>
      <c r="C22" s="39" t="n">
        <f aca="false">SUMIFS('Monthly Model'!$V$4:$V$63,'Monthly Model'!$B$4:$B$63,2)</f>
        <v>52207577.3596721</v>
      </c>
      <c r="D22" s="39" t="n">
        <f aca="false">SUMIFS('Monthly Model'!$V$4:$V$63,'Monthly Model'!$B$4:$B$63,3)</f>
        <v>122363847.594477</v>
      </c>
      <c r="E22" s="39" t="n">
        <f aca="false">SUMIFS('Monthly Model'!$V$4:$V$63,'Monthly Model'!$B$4:$B$63,4)</f>
        <v>225305361.539291</v>
      </c>
      <c r="F22" s="39" t="n">
        <f aca="false">SUMIFS('Monthly Model'!$V$4:$V$63,'Monthly Model'!$B$4:$B$63,5)</f>
        <v>354677228.948163</v>
      </c>
    </row>
    <row r="23" customFormat="false" ht="15" hidden="false" customHeight="false" outlineLevel="0" collapsed="false">
      <c r="A23" s="12" t="s">
        <v>137</v>
      </c>
      <c r="B23" s="39" t="n">
        <f aca="false">SUMIFS('Monthly Model'!$W$4:$W$63,'Monthly Model'!$B$4:$B$63,1)</f>
        <v>18309841.7254564</v>
      </c>
      <c r="C23" s="39" t="n">
        <f aca="false">SUMIFS('Monthly Model'!$W$4:$W$63,'Monthly Model'!$B$4:$B$63,2)</f>
        <v>79284751.5318586</v>
      </c>
      <c r="D23" s="39" t="n">
        <f aca="false">SUMIFS('Monthly Model'!$W$4:$W$63,'Monthly Model'!$B$4:$B$63,3)</f>
        <v>229594335.58131</v>
      </c>
      <c r="E23" s="39" t="n">
        <f aca="false">SUMIFS('Monthly Model'!$W$4:$W$63,'Monthly Model'!$B$4:$B$63,4)</f>
        <v>480225487.103008</v>
      </c>
      <c r="F23" s="39" t="n">
        <f aca="false">SUMIFS('Monthly Model'!$W$4:$W$63,'Monthly Model'!$B$4:$B$63,5)</f>
        <v>834875494.97459</v>
      </c>
    </row>
    <row r="24" customFormat="false" ht="15" hidden="false" customHeight="false" outlineLevel="0" collapsed="false">
      <c r="A24" s="12" t="s">
        <v>138</v>
      </c>
      <c r="B24" s="41" t="n">
        <f aca="false">IFERROR(B23/B19,0)</f>
        <v>0.533849414112744</v>
      </c>
      <c r="C24" s="41" t="n">
        <f aca="false">IFERROR(C23/C19,0)</f>
        <v>0.602961041151392</v>
      </c>
      <c r="D24" s="41" t="n">
        <f aca="false">IFERROR(D23/D19,0)</f>
        <v>0.652334131031237</v>
      </c>
      <c r="E24" s="41" t="n">
        <f aca="false">IFERROR(E23/E19,0)</f>
        <v>0.680658383722184</v>
      </c>
      <c r="F24" s="41" t="n">
        <f aca="false">IFERROR(F23/F19,0)</f>
        <v>0.701839841298876</v>
      </c>
    </row>
    <row r="25" customFormat="false" ht="15" hidden="false" customHeight="false" outlineLevel="0" collapsed="false">
      <c r="A25" s="12" t="s">
        <v>158</v>
      </c>
      <c r="B25" s="39" t="n">
        <f aca="false">SUMIFS('Monthly Model'!$AD$4:$AD$63,'Monthly Model'!$B$4:$B$63,1)</f>
        <v>24300000</v>
      </c>
      <c r="C25" s="39" t="n">
        <f aca="false">SUMIFS('Monthly Model'!$AD$4:$AD$63,'Monthly Model'!$B$4:$B$63,2)</f>
        <v>37200000</v>
      </c>
      <c r="D25" s="39" t="n">
        <f aca="false">SUMIFS('Monthly Model'!$AD$4:$AD$63,'Monthly Model'!$B$4:$B$63,3)</f>
        <v>70200000</v>
      </c>
      <c r="E25" s="39" t="n">
        <f aca="false">SUMIFS('Monthly Model'!$AD$4:$AD$63,'Monthly Model'!$B$4:$B$63,4)</f>
        <v>113100000</v>
      </c>
      <c r="F25" s="39" t="n">
        <f aca="false">SUMIFS('Monthly Model'!$AD$4:$AD$63,'Monthly Model'!$B$4:$B$63,5)</f>
        <v>177900000</v>
      </c>
    </row>
    <row r="26" customFormat="false" ht="15" hidden="false" customHeight="false" outlineLevel="0" collapsed="false">
      <c r="A26" s="15" t="s">
        <v>141</v>
      </c>
      <c r="B26" s="40" t="n">
        <f aca="false">SUMIFS('Monthly Model'!$AE$4:$AE$63,'Monthly Model'!$B$4:$B$63,1)</f>
        <v>-5990158.27454363</v>
      </c>
      <c r="C26" s="40" t="n">
        <f aca="false">SUMIFS('Monthly Model'!$AE$4:$AE$63,'Monthly Model'!$B$4:$B$63,2)</f>
        <v>42084751.5318586</v>
      </c>
      <c r="D26" s="40" t="n">
        <f aca="false">SUMIFS('Monthly Model'!$AE$4:$AE$63,'Monthly Model'!$B$4:$B$63,3)</f>
        <v>159394335.58131</v>
      </c>
      <c r="E26" s="40" t="n">
        <f aca="false">SUMIFS('Monthly Model'!$AE$4:$AE$63,'Monthly Model'!$B$4:$B$63,4)</f>
        <v>367125487.103008</v>
      </c>
      <c r="F26" s="40" t="n">
        <f aca="false">SUMIFS('Monthly Model'!$AE$4:$AE$63,'Monthly Model'!$B$4:$B$63,5)</f>
        <v>656975494.97459</v>
      </c>
    </row>
    <row r="27" customFormat="false" ht="15" hidden="false" customHeight="false" outlineLevel="0" collapsed="false">
      <c r="A27" s="15" t="s">
        <v>159</v>
      </c>
      <c r="B27" s="40" t="n">
        <f aca="false">INDEX('Monthly Model'!$AF$4:$AF$63,1*12)</f>
        <v>-5990158.27454363</v>
      </c>
      <c r="C27" s="40" t="n">
        <f aca="false">INDEX('Monthly Model'!$AF$4:$AF$63,2*12)</f>
        <v>36094593.2573149</v>
      </c>
      <c r="D27" s="40" t="n">
        <f aca="false">INDEX('Monthly Model'!$AF$4:$AF$63,3*12)</f>
        <v>195488928.838625</v>
      </c>
      <c r="E27" s="40" t="n">
        <f aca="false">INDEX('Monthly Model'!$AF$4:$AF$63,4*12)</f>
        <v>562614415.941633</v>
      </c>
      <c r="F27" s="40" t="n">
        <f aca="false">INDEX('Monthly Model'!$AF$4:$AF$63,5*12)</f>
        <v>1219589910.91622</v>
      </c>
      <c r="G27" s="9" t="s">
        <v>160</v>
      </c>
    </row>
    <row r="29" customFormat="false" ht="18" hidden="false" customHeight="true" outlineLevel="0" collapsed="false">
      <c r="A29" s="10" t="s">
        <v>161</v>
      </c>
      <c r="B29" s="10"/>
      <c r="C29" s="10"/>
      <c r="D29" s="10"/>
      <c r="E29" s="10"/>
      <c r="F29" s="10"/>
    </row>
    <row r="30" customFormat="false" ht="15" hidden="false" customHeight="false" outlineLevel="0" collapsed="false">
      <c r="A30" s="12" t="s">
        <v>162</v>
      </c>
      <c r="B30" s="42" t="n">
        <f aca="false">IFERROR(B19/B7,0)</f>
        <v>2947592.39967528</v>
      </c>
      <c r="C30" s="42" t="n">
        <f aca="false">IFERROR(C19/C7,0)</f>
        <v>4616364.03754781</v>
      </c>
      <c r="D30" s="42" t="n">
        <f aca="false">IFERROR(D19/D7,0)</f>
        <v>6986188.51345442</v>
      </c>
      <c r="E30" s="42" t="n">
        <f aca="false">IFERROR(E19/E7,0)</f>
        <v>9310718.08727218</v>
      </c>
      <c r="F30" s="42" t="n">
        <f aca="false">IFERROR(F19/F7,0)</f>
        <v>11481835.3752718</v>
      </c>
    </row>
    <row r="31" customFormat="false" ht="15" hidden="false" customHeight="false" outlineLevel="0" collapsed="false">
      <c r="A31" s="12" t="s">
        <v>163</v>
      </c>
      <c r="B31" s="43" t="n">
        <f aca="false">IFERROR(B11/B7/12,0)</f>
        <v>2.50117490869538</v>
      </c>
      <c r="C31" s="43" t="n">
        <f aca="false">IFERROR(C11/C7/12,0)</f>
        <v>3.25844467538133</v>
      </c>
      <c r="D31" s="43" t="n">
        <f aca="false">IFERROR(D11/D7/12,0)</f>
        <v>3.66584872763543</v>
      </c>
      <c r="E31" s="43" t="n">
        <f aca="false">IFERROR(E11/E7/12,0)</f>
        <v>3.89715187940199</v>
      </c>
      <c r="F31" s="43" t="n">
        <f aca="false">IFERROR(F11/F7/12,0)</f>
        <v>4.05206934276486</v>
      </c>
      <c r="G31" s="9" t="s">
        <v>164</v>
      </c>
    </row>
    <row r="32" customFormat="false" ht="15" hidden="false" customHeight="false" outlineLevel="0" collapsed="false">
      <c r="A32" s="12" t="s">
        <v>165</v>
      </c>
      <c r="B32" s="42" t="n">
        <f aca="false">IFERROR(B19/B11,0)</f>
        <v>98206.9263205039</v>
      </c>
      <c r="C32" s="42" t="n">
        <f aca="false">IFERROR(C19/C11,0)</f>
        <v>118061.542071131</v>
      </c>
      <c r="D32" s="42" t="n">
        <f aca="false">IFERROR(D19/D11,0)</f>
        <v>158812.438640021</v>
      </c>
      <c r="E32" s="42" t="n">
        <f aca="false">IFERROR(E19/E11,0)</f>
        <v>199092.362307011</v>
      </c>
      <c r="F32" s="42" t="n">
        <f aca="false">IFERROR(F19/F11,0)</f>
        <v>236131.105780415</v>
      </c>
    </row>
    <row r="33" customFormat="false" ht="15" hidden="false" customHeight="false" outlineLevel="0" collapsed="false">
      <c r="A33" s="12" t="s">
        <v>166</v>
      </c>
      <c r="B33" s="42" t="n">
        <f aca="false">IFERROR(B23/B11,0)</f>
        <v>52427.7100780144</v>
      </c>
      <c r="C33" s="42" t="n">
        <f aca="false">IFERROR(C23/C11,0)</f>
        <v>71186.5103271478</v>
      </c>
      <c r="D33" s="42" t="n">
        <f aca="false">IFERROR(D23/D11,0)</f>
        <v>103598.77415719</v>
      </c>
      <c r="E33" s="42" t="n">
        <f aca="false">IFERROR(E23/E11,0)</f>
        <v>135513.885539321</v>
      </c>
      <c r="F33" s="42" t="n">
        <f aca="false">IFERROR(F23/F11,0)</f>
        <v>165726.217806654</v>
      </c>
    </row>
    <row r="35" customFormat="false" ht="18" hidden="false" customHeight="true" outlineLevel="0" collapsed="false">
      <c r="A35" s="10" t="s">
        <v>167</v>
      </c>
      <c r="B35" s="10"/>
      <c r="C35" s="10"/>
      <c r="D35" s="10"/>
      <c r="E35" s="10"/>
      <c r="F35" s="10"/>
    </row>
    <row r="36" customFormat="false" ht="15" hidden="false" customHeight="false" outlineLevel="0" collapsed="false">
      <c r="A36" s="15" t="s">
        <v>168</v>
      </c>
      <c r="B36" s="40" t="n">
        <f aca="false">-MIN(0,MIN('Monthly Model'!$AF$4:$AF$63))</f>
        <v>8689288.60605555</v>
      </c>
      <c r="G36" s="9" t="s">
        <v>169</v>
      </c>
    </row>
    <row r="37" customFormat="false" ht="15" hidden="false" customHeight="false" outlineLevel="0" collapsed="false">
      <c r="A37" s="15" t="s">
        <v>170</v>
      </c>
      <c r="B37" s="38" t="n">
        <f aca="false">IFERROR(INDEX('Monthly Model'!$A$4:$A$63,MATCH(MIN('Monthly Model'!$AF$4:$AF$63),'Monthly Model'!$AF$4:$AF$63,0)),0)</f>
        <v>7</v>
      </c>
    </row>
    <row r="38" customFormat="false" ht="15" hidden="false" customHeight="false" outlineLevel="0" collapsed="false">
      <c r="A38" s="15" t="s">
        <v>171</v>
      </c>
      <c r="B38" s="38" t="n">
        <f aca="false">IFERROR(INDEX('Monthly Model'!$A$4:$A$63,MATCH(1,INDEX(('Monthly Model'!$AE$4:$AE$63&gt;0)*1,0),0)),0)</f>
        <v>8</v>
      </c>
      <c r="G38" s="9" t="s">
        <v>172</v>
      </c>
    </row>
    <row r="39" customFormat="false" ht="15" hidden="false" customHeight="false" outlineLevel="0" collapsed="false">
      <c r="A39" s="15" t="s">
        <v>173</v>
      </c>
      <c r="B39" s="38" t="n">
        <f aca="false">IFERROR(INDEX('Monthly Model'!$A$4:$A$63,MATCH(1,INDEX(('Monthly Model'!$AF$4:$AF$63&gt;0)*1,0),0)),0)</f>
        <v>18</v>
      </c>
      <c r="G39" s="9" t="s">
        <v>174</v>
      </c>
    </row>
    <row r="41" customFormat="false" ht="15" hidden="false" customHeight="false" outlineLevel="0" collapsed="false">
      <c r="A41" s="9" t="s">
        <v>175</v>
      </c>
    </row>
  </sheetData>
  <mergeCells count="5">
    <mergeCell ref="A5:F5"/>
    <mergeCell ref="A14:F14"/>
    <mergeCell ref="A21:F21"/>
    <mergeCell ref="A29:F29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2026-09-17T10:03:49Z</dcterms:created>
  <dc:creator>openpyxl</dc:creator>
  <dc:description/>
  <dc:language>en-US</dc:language>
  <cp:lastModifiedBy/>
  <dcterms:modified xsi:type="dcterms:W3CDTF">2026-09-17T10:03:49Z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